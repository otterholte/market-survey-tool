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Market Averages" sheetId="1" state="visible" r:id="rId1"/>
    <sheet name="Property Data" sheetId="2" state="visible" r:id="rId2"/>
    <sheet name="Leased Beds Report" sheetId="3" state="visible" r:id="rId3"/>
  </sheets>
  <definedNames/>
  <calcPr calcId="124519" fullCalcOnLoad="1"/>
</workbook>
</file>

<file path=xl/styles.xml><?xml version="1.0" encoding="utf-8"?>
<styleSheet xmlns="http://schemas.openxmlformats.org/spreadsheetml/2006/main">
  <numFmts count="2">
    <numFmt numFmtId="164" formatCode="0.0%"/>
    <numFmt numFmtId="165" formatCode="MMMM D, YYYY"/>
  </numFmts>
  <fonts count="9">
    <font>
      <name val="Calibri"/>
      <family val="2"/>
      <color theme="1"/>
      <sz val="11"/>
      <scheme val="minor"/>
    </font>
    <font>
      <name val="Segoe UI"/>
      <b val="1"/>
      <color rgb="001F4E79"/>
      <sz val="14"/>
    </font>
    <font>
      <name val="Segoe UI"/>
      <i val="1"/>
      <color rgb="00666666"/>
      <sz val="10"/>
    </font>
    <font>
      <name val="Segoe UI"/>
      <b val="1"/>
      <color rgb="00FFFFFF"/>
      <sz val="11"/>
    </font>
    <font>
      <name val="Segoe UI"/>
      <sz val="10"/>
    </font>
    <font>
      <name val="Segoe UI"/>
      <b val="1"/>
      <sz val="10"/>
    </font>
    <font>
      <name val="Segoe UI"/>
      <b val="1"/>
      <color rgb="001F4E79"/>
      <sz val="11"/>
    </font>
    <font>
      <name val="Segoe UI"/>
      <b val="1"/>
      <sz val="11"/>
    </font>
    <font>
      <name val="Segoe UI"/>
      <b val="1"/>
      <color rgb="001F4E79"/>
      <sz val="12"/>
    </font>
  </fonts>
  <fills count="5">
    <fill>
      <patternFill/>
    </fill>
    <fill>
      <patternFill patternType="gray125"/>
    </fill>
    <fill>
      <patternFill patternType="solid">
        <fgColor rgb="001F4E79"/>
        <bgColor rgb="001F4E79"/>
      </patternFill>
    </fill>
    <fill>
      <patternFill patternType="solid">
        <fgColor rgb="00D6E3F8"/>
        <bgColor rgb="00D6E3F8"/>
      </patternFill>
    </fill>
    <fill>
      <patternFill patternType="solid">
        <fgColor rgb="00BDD7EE"/>
        <bgColor rgb="00BDD7EE"/>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4" fillId="3" borderId="1" applyAlignment="1" pivotButton="0" quotePrefix="0" xfId="0">
      <alignment horizontal="center" vertical="center"/>
    </xf>
    <xf numFmtId="164" fontId="4" fillId="3" borderId="1" applyAlignment="1" pivotButton="0" quotePrefix="0" xfId="0">
      <alignment horizontal="center" vertical="center"/>
    </xf>
    <xf numFmtId="0" fontId="4" fillId="0" borderId="1" applyAlignment="1" pivotButton="0" quotePrefix="0" xfId="0">
      <alignment horizontal="center" vertical="center"/>
    </xf>
    <xf numFmtId="164" fontId="4" fillId="0" borderId="1" applyAlignment="1" pivotButton="0" quotePrefix="0" xfId="0">
      <alignment horizontal="center" vertical="center"/>
    </xf>
    <xf numFmtId="0" fontId="3" fillId="2" borderId="1" applyAlignment="1" pivotButton="0" quotePrefix="0" xfId="0">
      <alignment horizontal="center" vertical="center" wrapText="1"/>
    </xf>
    <xf numFmtId="0" fontId="4" fillId="3" borderId="1" pivotButton="0" quotePrefix="0" xfId="0"/>
    <xf numFmtId="0" fontId="4" fillId="3" borderId="1" applyAlignment="1" pivotButton="0" quotePrefix="0" xfId="0">
      <alignment horizontal="center"/>
    </xf>
    <xf numFmtId="164" fontId="4" fillId="3" borderId="1" applyAlignment="1" pivotButton="0" quotePrefix="0" xfId="0">
      <alignment horizontal="center"/>
    </xf>
    <xf numFmtId="0" fontId="5" fillId="3" borderId="1" applyAlignment="1" pivotButton="0" quotePrefix="0" xfId="0">
      <alignment horizontal="center"/>
    </xf>
    <xf numFmtId="0" fontId="4" fillId="0" borderId="1" pivotButton="0" quotePrefix="0" xfId="0"/>
    <xf numFmtId="0" fontId="4" fillId="0" borderId="1" applyAlignment="1" pivotButton="0" quotePrefix="0" xfId="0">
      <alignment horizontal="center"/>
    </xf>
    <xf numFmtId="164" fontId="4" fillId="0" borderId="1" applyAlignment="1" pivotButton="0" quotePrefix="0" xfId="0">
      <alignment horizontal="center"/>
    </xf>
    <xf numFmtId="0" fontId="5" fillId="0" borderId="1" applyAlignment="1" pivotButton="0" quotePrefix="0" xfId="0">
      <alignment horizontal="center"/>
    </xf>
    <xf numFmtId="165" fontId="2" fillId="0" borderId="0" pivotButton="0" quotePrefix="0" xfId="0"/>
    <xf numFmtId="0" fontId="6" fillId="0" borderId="0" pivotButton="0" quotePrefix="0" xfId="0"/>
    <xf numFmtId="0" fontId="7" fillId="4" borderId="1" applyAlignment="1" pivotButton="0" quotePrefix="0" xfId="0">
      <alignment horizontal="center"/>
    </xf>
    <xf numFmtId="164" fontId="8" fillId="0" borderId="0" pivotButton="0" quotePrefix="0" xfId="0"/>
  </cellXfs>
  <cellStyles count="1">
    <cellStyle name="Normal" xfId="0" builtinId="0" hidden="0"/>
  </cellStyles>
  <dxfs count="1">
    <dxf>
      <fill>
        <patternFill patternType="solid">
          <fgColor rgb="00FFF2CC"/>
          <b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D12"/>
  <sheetViews>
    <sheetView workbookViewId="0">
      <selection activeCell="A1" sqref="A1"/>
    </sheetView>
  </sheetViews>
  <sheetFormatPr baseColWidth="8" defaultRowHeight="15"/>
  <cols>
    <col width="3" customWidth="1" min="1" max="1"/>
    <col width="18" customWidth="1" min="2" max="2"/>
    <col width="15" customWidth="1" min="3" max="3"/>
  </cols>
  <sheetData>
    <row r="2">
      <c r="B2" s="1" t="inlineStr">
        <is>
          <t>Market Average Prelease Percentages</t>
        </is>
      </c>
    </row>
    <row r="4">
      <c r="B4" s="2" t="inlineStr">
        <is>
          <t>Enter the market average prelease % for each bedroom type below.</t>
        </is>
      </c>
    </row>
    <row r="6">
      <c r="B6" s="3" t="inlineStr">
        <is>
          <t>Bedroom Type</t>
        </is>
      </c>
      <c r="C6" s="3" t="inlineStr">
        <is>
          <t>Prelease %</t>
        </is>
      </c>
    </row>
    <row r="7">
      <c r="B7" s="4" t="inlineStr">
        <is>
          <t>Studio</t>
        </is>
      </c>
      <c r="C7" s="5" t="n">
        <v>0.45</v>
      </c>
    </row>
    <row r="8">
      <c r="B8" s="6" t="inlineStr">
        <is>
          <t>1 BR</t>
        </is>
      </c>
      <c r="C8" s="7" t="n">
        <v>0.5</v>
      </c>
    </row>
    <row r="9">
      <c r="B9" s="4" t="inlineStr">
        <is>
          <t>2 BR</t>
        </is>
      </c>
      <c r="C9" s="5" t="n">
        <v>0.55</v>
      </c>
    </row>
    <row r="10">
      <c r="B10" s="6" t="inlineStr">
        <is>
          <t>3 BR</t>
        </is>
      </c>
      <c r="C10" s="7" t="n">
        <v>0.6</v>
      </c>
    </row>
    <row r="11">
      <c r="B11" s="4" t="inlineStr">
        <is>
          <t>4 BR</t>
        </is>
      </c>
      <c r="C11" s="5" t="n">
        <v>0.55</v>
      </c>
    </row>
    <row r="12">
      <c r="B12" s="6" t="inlineStr">
        <is>
          <t>5 BR</t>
        </is>
      </c>
      <c r="C12" s="7" t="n">
        <v>0.5</v>
      </c>
    </row>
  </sheetData>
  <mergeCells count="2">
    <mergeCell ref="B2:C2"/>
    <mergeCell ref="B4:D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I106"/>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3" customWidth="1" min="1" max="1"/>
    <col width="25" customWidth="1" min="2" max="2"/>
    <col width="20" customWidth="1" min="3" max="3"/>
    <col width="12" customWidth="1" min="4" max="4"/>
    <col width="10" customWidth="1" min="5" max="5"/>
    <col width="12" customWidth="1" min="6" max="6"/>
    <col width="12" customWidth="1" min="7" max="7"/>
    <col width="12" customWidth="1" min="8" max="8"/>
    <col width="12" customWidth="1" min="9" max="9"/>
  </cols>
  <sheetData>
    <row r="2">
      <c r="B2" s="1" t="inlineStr">
        <is>
          <t>Property &amp; Floorplan Data Entry</t>
        </is>
      </c>
    </row>
    <row r="4">
      <c r="B4" s="2" t="inlineStr">
        <is>
          <t>Enter property data below. Leave 'Prelease %' blank to use market averages.</t>
        </is>
      </c>
    </row>
    <row r="6">
      <c r="B6" s="8" t="inlineStr">
        <is>
          <t>Property Name</t>
        </is>
      </c>
      <c r="C6" s="8" t="inlineStr">
        <is>
          <t>Floorplan Name</t>
        </is>
      </c>
      <c r="D6" s="8" t="inlineStr">
        <is>
          <t>Bedrooms</t>
        </is>
      </c>
      <c r="E6" s="8" t="inlineStr">
        <is>
          <t>Units</t>
        </is>
      </c>
      <c r="F6" s="8" t="inlineStr">
        <is>
          <t>Prelease %</t>
        </is>
      </c>
      <c r="G6" s="8" t="inlineStr">
        <is>
          <t>Effective %</t>
        </is>
      </c>
      <c r="H6" s="8" t="inlineStr">
        <is>
          <t>Total Beds</t>
        </is>
      </c>
      <c r="I6" s="8" t="inlineStr">
        <is>
          <t>Leased Beds</t>
        </is>
      </c>
    </row>
    <row r="7">
      <c r="B7" s="9" t="inlineStr">
        <is>
          <t>The Heights</t>
        </is>
      </c>
      <c r="C7" s="9" t="inlineStr">
        <is>
          <t>Studio Deluxe</t>
        </is>
      </c>
      <c r="D7" s="10" t="inlineStr">
        <is>
          <t>Studio</t>
        </is>
      </c>
      <c r="E7" s="10" t="n">
        <v>24</v>
      </c>
      <c r="F7" s="11" t="n">
        <v>0.52</v>
      </c>
      <c r="G7" s="11">
        <f>IF(F7&lt;&gt;"",F7,IF(D7="Studio",'Market Averages'!$C$7,IF(D7="1 BR",'Market Averages'!$C$8,IF(D7="2 BR",'Market Averages'!$C$9,IF(D7="3 BR",'Market Averages'!$C$10,IF(D7="4 BR",'Market Averages'!$C$11,IF(D7="5 BR",'Market Averages'!$C$12,"")))))))</f>
        <v/>
      </c>
      <c r="H7" s="10">
        <f>IF(OR(D7="",E7=""),"",IF(D7="Studio",1,IF(D7="1 BR",1,IF(D7="2 BR",2,IF(D7="3 BR",3,IF(D7="4 BR",4,IF(D7="5 BR",5,0))))))*E7)</f>
        <v/>
      </c>
      <c r="I7" s="12">
        <f>IF(OR(H7="",G7=""),"",ROUND(H7*G7,0))</f>
        <v/>
      </c>
    </row>
    <row r="8">
      <c r="B8" s="13" t="inlineStr">
        <is>
          <t>The Heights</t>
        </is>
      </c>
      <c r="C8" s="13" t="inlineStr">
        <is>
          <t>A1</t>
        </is>
      </c>
      <c r="D8" s="14" t="inlineStr">
        <is>
          <t>1 BR</t>
        </is>
      </c>
      <c r="E8" s="14" t="n">
        <v>36</v>
      </c>
      <c r="F8" s="15" t="n">
        <v>0.52</v>
      </c>
      <c r="G8" s="15">
        <f>IF(F8&lt;&gt;"",F8,IF(D8="Studio",'Market Averages'!$C$7,IF(D8="1 BR",'Market Averages'!$C$8,IF(D8="2 BR",'Market Averages'!$C$9,IF(D8="3 BR",'Market Averages'!$C$10,IF(D8="4 BR",'Market Averages'!$C$11,IF(D8="5 BR",'Market Averages'!$C$12,"")))))))</f>
        <v/>
      </c>
      <c r="H8" s="14">
        <f>IF(OR(D8="",E8=""),"",IF(D8="Studio",1,IF(D8="1 BR",1,IF(D8="2 BR",2,IF(D8="3 BR",3,IF(D8="4 BR",4,IF(D8="5 BR",5,0))))))*E8)</f>
        <v/>
      </c>
      <c r="I8" s="16">
        <f>IF(OR(H8="",G8=""),"",ROUND(H8*G8,0))</f>
        <v/>
      </c>
    </row>
    <row r="9">
      <c r="B9" s="9" t="inlineStr">
        <is>
          <t>The Heights</t>
        </is>
      </c>
      <c r="C9" s="9" t="inlineStr">
        <is>
          <t>B1</t>
        </is>
      </c>
      <c r="D9" s="10" t="inlineStr">
        <is>
          <t>2 BR</t>
        </is>
      </c>
      <c r="E9" s="10" t="n">
        <v>48</v>
      </c>
      <c r="F9" s="11" t="n">
        <v>0.52</v>
      </c>
      <c r="G9" s="11">
        <f>IF(F9&lt;&gt;"",F9,IF(D9="Studio",'Market Averages'!$C$7,IF(D9="1 BR",'Market Averages'!$C$8,IF(D9="2 BR",'Market Averages'!$C$9,IF(D9="3 BR",'Market Averages'!$C$10,IF(D9="4 BR",'Market Averages'!$C$11,IF(D9="5 BR",'Market Averages'!$C$12,"")))))))</f>
        <v/>
      </c>
      <c r="H9" s="10">
        <f>IF(OR(D9="",E9=""),"",IF(D9="Studio",1,IF(D9="1 BR",1,IF(D9="2 BR",2,IF(D9="3 BR",3,IF(D9="4 BR",4,IF(D9="5 BR",5,0))))))*E9)</f>
        <v/>
      </c>
      <c r="I9" s="12">
        <f>IF(OR(H9="",G9=""),"",ROUND(H9*G9,0))</f>
        <v/>
      </c>
    </row>
    <row r="10">
      <c r="B10" s="13" t="inlineStr">
        <is>
          <t>The Heights</t>
        </is>
      </c>
      <c r="C10" s="13" t="inlineStr">
        <is>
          <t>B2 Premium</t>
        </is>
      </c>
      <c r="D10" s="14" t="inlineStr">
        <is>
          <t>2 BR</t>
        </is>
      </c>
      <c r="E10" s="14" t="n">
        <v>24</v>
      </c>
      <c r="F10" s="15" t="n">
        <v>0.52</v>
      </c>
      <c r="G10" s="15">
        <f>IF(F10&lt;&gt;"",F10,IF(D10="Studio",'Market Averages'!$C$7,IF(D10="1 BR",'Market Averages'!$C$8,IF(D10="2 BR",'Market Averages'!$C$9,IF(D10="3 BR",'Market Averages'!$C$10,IF(D10="4 BR",'Market Averages'!$C$11,IF(D10="5 BR",'Market Averages'!$C$12,"")))))))</f>
        <v/>
      </c>
      <c r="H10" s="14">
        <f>IF(OR(D10="",E10=""),"",IF(D10="Studio",1,IF(D10="1 BR",1,IF(D10="2 BR",2,IF(D10="3 BR",3,IF(D10="4 BR",4,IF(D10="5 BR",5,0))))))*E10)</f>
        <v/>
      </c>
      <c r="I10" s="16">
        <f>IF(OR(H10="",G10=""),"",ROUND(H10*G10,0))</f>
        <v/>
      </c>
    </row>
    <row r="11">
      <c r="B11" s="9" t="inlineStr">
        <is>
          <t>The Heights</t>
        </is>
      </c>
      <c r="C11" s="9" t="inlineStr">
        <is>
          <t>C1</t>
        </is>
      </c>
      <c r="D11" s="10" t="inlineStr">
        <is>
          <t>3 BR</t>
        </is>
      </c>
      <c r="E11" s="10" t="n">
        <v>32</v>
      </c>
      <c r="F11" s="11" t="n">
        <v>0.52</v>
      </c>
      <c r="G11" s="11">
        <f>IF(F11&lt;&gt;"",F11,IF(D11="Studio",'Market Averages'!$C$7,IF(D11="1 BR",'Market Averages'!$C$8,IF(D11="2 BR",'Market Averages'!$C$9,IF(D11="3 BR",'Market Averages'!$C$10,IF(D11="4 BR",'Market Averages'!$C$11,IF(D11="5 BR",'Market Averages'!$C$12,"")))))))</f>
        <v/>
      </c>
      <c r="H11" s="10">
        <f>IF(OR(D11="",E11=""),"",IF(D11="Studio",1,IF(D11="1 BR",1,IF(D11="2 BR",2,IF(D11="3 BR",3,IF(D11="4 BR",4,IF(D11="5 BR",5,0))))))*E11)</f>
        <v/>
      </c>
      <c r="I11" s="12">
        <f>IF(OR(H11="",G11=""),"",ROUND(H11*G11,0))</f>
        <v/>
      </c>
    </row>
    <row r="12">
      <c r="B12" s="13" t="inlineStr">
        <is>
          <t>University Village</t>
        </is>
      </c>
      <c r="C12" s="13" t="inlineStr">
        <is>
          <t>Efficiency</t>
        </is>
      </c>
      <c r="D12" s="14" t="inlineStr">
        <is>
          <t>Studio</t>
        </is>
      </c>
      <c r="E12" s="14" t="n">
        <v>20</v>
      </c>
      <c r="F12" s="15" t="inlineStr"/>
      <c r="G12" s="15">
        <f>IF(F12&lt;&gt;"",F12,IF(D12="Studio",'Market Averages'!$C$7,IF(D12="1 BR",'Market Averages'!$C$8,IF(D12="2 BR",'Market Averages'!$C$9,IF(D12="3 BR",'Market Averages'!$C$10,IF(D12="4 BR",'Market Averages'!$C$11,IF(D12="5 BR",'Market Averages'!$C$12,"")))))))</f>
        <v/>
      </c>
      <c r="H12" s="14">
        <f>IF(OR(D12="",E12=""),"",IF(D12="Studio",1,IF(D12="1 BR",1,IF(D12="2 BR",2,IF(D12="3 BR",3,IF(D12="4 BR",4,IF(D12="5 BR",5,0))))))*E12)</f>
        <v/>
      </c>
      <c r="I12" s="16">
        <f>IF(OR(H12="",G12=""),"",ROUND(H12*G12,0))</f>
        <v/>
      </c>
    </row>
    <row r="13">
      <c r="B13" s="9" t="inlineStr">
        <is>
          <t>University Village</t>
        </is>
      </c>
      <c r="C13" s="9" t="inlineStr">
        <is>
          <t>One Bed</t>
        </is>
      </c>
      <c r="D13" s="10" t="inlineStr">
        <is>
          <t>1 BR</t>
        </is>
      </c>
      <c r="E13" s="10" t="n">
        <v>40</v>
      </c>
      <c r="F13" s="11" t="inlineStr"/>
      <c r="G13" s="11">
        <f>IF(F13&lt;&gt;"",F13,IF(D13="Studio",'Market Averages'!$C$7,IF(D13="1 BR",'Market Averages'!$C$8,IF(D13="2 BR",'Market Averages'!$C$9,IF(D13="3 BR",'Market Averages'!$C$10,IF(D13="4 BR",'Market Averages'!$C$11,IF(D13="5 BR",'Market Averages'!$C$12,"")))))))</f>
        <v/>
      </c>
      <c r="H13" s="10">
        <f>IF(OR(D13="",E13=""),"",IF(D13="Studio",1,IF(D13="1 BR",1,IF(D13="2 BR",2,IF(D13="3 BR",3,IF(D13="4 BR",4,IF(D13="5 BR",5,0))))))*E13)</f>
        <v/>
      </c>
      <c r="I13" s="12">
        <f>IF(OR(H13="",G13=""),"",ROUND(H13*G13,0))</f>
        <v/>
      </c>
    </row>
    <row r="14">
      <c r="B14" s="13" t="inlineStr">
        <is>
          <t>University Village</t>
        </is>
      </c>
      <c r="C14" s="13" t="inlineStr">
        <is>
          <t>Two Bed A</t>
        </is>
      </c>
      <c r="D14" s="14" t="inlineStr">
        <is>
          <t>2 BR</t>
        </is>
      </c>
      <c r="E14" s="14" t="n">
        <v>60</v>
      </c>
      <c r="F14" s="15" t="inlineStr"/>
      <c r="G14" s="15">
        <f>IF(F14&lt;&gt;"",F14,IF(D14="Studio",'Market Averages'!$C$7,IF(D14="1 BR",'Market Averages'!$C$8,IF(D14="2 BR",'Market Averages'!$C$9,IF(D14="3 BR",'Market Averages'!$C$10,IF(D14="4 BR",'Market Averages'!$C$11,IF(D14="5 BR",'Market Averages'!$C$12,"")))))))</f>
        <v/>
      </c>
      <c r="H14" s="14">
        <f>IF(OR(D14="",E14=""),"",IF(D14="Studio",1,IF(D14="1 BR",1,IF(D14="2 BR",2,IF(D14="3 BR",3,IF(D14="4 BR",4,IF(D14="5 BR",5,0))))))*E14)</f>
        <v/>
      </c>
      <c r="I14" s="16">
        <f>IF(OR(H14="",G14=""),"",ROUND(H14*G14,0))</f>
        <v/>
      </c>
    </row>
    <row r="15">
      <c r="B15" s="9" t="inlineStr">
        <is>
          <t>University Village</t>
        </is>
      </c>
      <c r="C15" s="9" t="inlineStr">
        <is>
          <t>Two Bed B</t>
        </is>
      </c>
      <c r="D15" s="10" t="inlineStr">
        <is>
          <t>2 BR</t>
        </is>
      </c>
      <c r="E15" s="10" t="n">
        <v>30</v>
      </c>
      <c r="F15" s="11" t="inlineStr"/>
      <c r="G15" s="11">
        <f>IF(F15&lt;&gt;"",F15,IF(D15="Studio",'Market Averages'!$C$7,IF(D15="1 BR",'Market Averages'!$C$8,IF(D15="2 BR",'Market Averages'!$C$9,IF(D15="3 BR",'Market Averages'!$C$10,IF(D15="4 BR",'Market Averages'!$C$11,IF(D15="5 BR",'Market Averages'!$C$12,"")))))))</f>
        <v/>
      </c>
      <c r="H15" s="10">
        <f>IF(OR(D15="",E15=""),"",IF(D15="Studio",1,IF(D15="1 BR",1,IF(D15="2 BR",2,IF(D15="3 BR",3,IF(D15="4 BR",4,IF(D15="5 BR",5,0))))))*E15)</f>
        <v/>
      </c>
      <c r="I15" s="12">
        <f>IF(OR(H15="",G15=""),"",ROUND(H15*G15,0))</f>
        <v/>
      </c>
    </row>
    <row r="16">
      <c r="B16" s="13" t="inlineStr">
        <is>
          <t>University Village</t>
        </is>
      </c>
      <c r="C16" s="13" t="inlineStr">
        <is>
          <t>Three Bed</t>
        </is>
      </c>
      <c r="D16" s="14" t="inlineStr">
        <is>
          <t>3 BR</t>
        </is>
      </c>
      <c r="E16" s="14" t="n">
        <v>48</v>
      </c>
      <c r="F16" s="15" t="inlineStr"/>
      <c r="G16" s="15">
        <f>IF(F16&lt;&gt;"",F16,IF(D16="Studio",'Market Averages'!$C$7,IF(D16="1 BR",'Market Averages'!$C$8,IF(D16="2 BR",'Market Averages'!$C$9,IF(D16="3 BR",'Market Averages'!$C$10,IF(D16="4 BR",'Market Averages'!$C$11,IF(D16="5 BR",'Market Averages'!$C$12,"")))))))</f>
        <v/>
      </c>
      <c r="H16" s="14">
        <f>IF(OR(D16="",E16=""),"",IF(D16="Studio",1,IF(D16="1 BR",1,IF(D16="2 BR",2,IF(D16="3 BR",3,IF(D16="4 BR",4,IF(D16="5 BR",5,0))))))*E16)</f>
        <v/>
      </c>
      <c r="I16" s="16">
        <f>IF(OR(H16="",G16=""),"",ROUND(H16*G16,0))</f>
        <v/>
      </c>
    </row>
    <row r="17">
      <c r="B17" s="9" t="inlineStr">
        <is>
          <t>University Village</t>
        </is>
      </c>
      <c r="C17" s="9" t="inlineStr">
        <is>
          <t>Four Bed</t>
        </is>
      </c>
      <c r="D17" s="10" t="inlineStr">
        <is>
          <t>4 BR</t>
        </is>
      </c>
      <c r="E17" s="10" t="n">
        <v>24</v>
      </c>
      <c r="F17" s="11" t="inlineStr"/>
      <c r="G17" s="11">
        <f>IF(F17&lt;&gt;"",F17,IF(D17="Studio",'Market Averages'!$C$7,IF(D17="1 BR",'Market Averages'!$C$8,IF(D17="2 BR",'Market Averages'!$C$9,IF(D17="3 BR",'Market Averages'!$C$10,IF(D17="4 BR",'Market Averages'!$C$11,IF(D17="5 BR",'Market Averages'!$C$12,"")))))))</f>
        <v/>
      </c>
      <c r="H17" s="10">
        <f>IF(OR(D17="",E17=""),"",IF(D17="Studio",1,IF(D17="1 BR",1,IF(D17="2 BR",2,IF(D17="3 BR",3,IF(D17="4 BR",4,IF(D17="5 BR",5,0))))))*E17)</f>
        <v/>
      </c>
      <c r="I17" s="12">
        <f>IF(OR(H17="",G17=""),"",ROUND(H17*G17,0))</f>
        <v/>
      </c>
    </row>
    <row r="18">
      <c r="B18" s="13" t="inlineStr">
        <is>
          <t>Campus Edge</t>
        </is>
      </c>
      <c r="C18" s="13" t="inlineStr">
        <is>
          <t>Studio</t>
        </is>
      </c>
      <c r="D18" s="14" t="inlineStr">
        <is>
          <t>Studio</t>
        </is>
      </c>
      <c r="E18" s="14" t="n">
        <v>16</v>
      </c>
      <c r="F18" s="15" t="n">
        <v>0.48</v>
      </c>
      <c r="G18" s="15">
        <f>IF(F18&lt;&gt;"",F18,IF(D18="Studio",'Market Averages'!$C$7,IF(D18="1 BR",'Market Averages'!$C$8,IF(D18="2 BR",'Market Averages'!$C$9,IF(D18="3 BR",'Market Averages'!$C$10,IF(D18="4 BR",'Market Averages'!$C$11,IF(D18="5 BR",'Market Averages'!$C$12,"")))))))</f>
        <v/>
      </c>
      <c r="H18" s="14">
        <f>IF(OR(D18="",E18=""),"",IF(D18="Studio",1,IF(D18="1 BR",1,IF(D18="2 BR",2,IF(D18="3 BR",3,IF(D18="4 BR",4,IF(D18="5 BR",5,0))))))*E18)</f>
        <v/>
      </c>
      <c r="I18" s="16">
        <f>IF(OR(H18="",G18=""),"",ROUND(H18*G18,0))</f>
        <v/>
      </c>
    </row>
    <row r="19">
      <c r="B19" s="9" t="inlineStr">
        <is>
          <t>Campus Edge</t>
        </is>
      </c>
      <c r="C19" s="9" t="inlineStr">
        <is>
          <t>1BR Classic</t>
        </is>
      </c>
      <c r="D19" s="10" t="inlineStr">
        <is>
          <t>1 BR</t>
        </is>
      </c>
      <c r="E19" s="10" t="n">
        <v>32</v>
      </c>
      <c r="F19" s="11" t="n">
        <v>0.48</v>
      </c>
      <c r="G19" s="11">
        <f>IF(F19&lt;&gt;"",F19,IF(D19="Studio",'Market Averages'!$C$7,IF(D19="1 BR",'Market Averages'!$C$8,IF(D19="2 BR",'Market Averages'!$C$9,IF(D19="3 BR",'Market Averages'!$C$10,IF(D19="4 BR",'Market Averages'!$C$11,IF(D19="5 BR",'Market Averages'!$C$12,"")))))))</f>
        <v/>
      </c>
      <c r="H19" s="10">
        <f>IF(OR(D19="",E19=""),"",IF(D19="Studio",1,IF(D19="1 BR",1,IF(D19="2 BR",2,IF(D19="3 BR",3,IF(D19="4 BR",4,IF(D19="5 BR",5,0))))))*E19)</f>
        <v/>
      </c>
      <c r="I19" s="12">
        <f>IF(OR(H19="",G19=""),"",ROUND(H19*G19,0))</f>
        <v/>
      </c>
    </row>
    <row r="20">
      <c r="B20" s="13" t="inlineStr">
        <is>
          <t>Campus Edge</t>
        </is>
      </c>
      <c r="C20" s="13" t="inlineStr">
        <is>
          <t>2BR Standard</t>
        </is>
      </c>
      <c r="D20" s="14" t="inlineStr">
        <is>
          <t>2 BR</t>
        </is>
      </c>
      <c r="E20" s="14" t="n">
        <v>40</v>
      </c>
      <c r="F20" s="15" t="n">
        <v>0.48</v>
      </c>
      <c r="G20" s="15">
        <f>IF(F20&lt;&gt;"",F20,IF(D20="Studio",'Market Averages'!$C$7,IF(D20="1 BR",'Market Averages'!$C$8,IF(D20="2 BR",'Market Averages'!$C$9,IF(D20="3 BR",'Market Averages'!$C$10,IF(D20="4 BR",'Market Averages'!$C$11,IF(D20="5 BR",'Market Averages'!$C$12,"")))))))</f>
        <v/>
      </c>
      <c r="H20" s="14">
        <f>IF(OR(D20="",E20=""),"",IF(D20="Studio",1,IF(D20="1 BR",1,IF(D20="2 BR",2,IF(D20="3 BR",3,IF(D20="4 BR",4,IF(D20="5 BR",5,0))))))*E20)</f>
        <v/>
      </c>
      <c r="I20" s="16">
        <f>IF(OR(H20="",G20=""),"",ROUND(H20*G20,0))</f>
        <v/>
      </c>
    </row>
    <row r="21">
      <c r="B21" s="9" t="inlineStr">
        <is>
          <t>Campus Edge</t>
        </is>
      </c>
      <c r="C21" s="9" t="inlineStr">
        <is>
          <t>3BR Townhome</t>
        </is>
      </c>
      <c r="D21" s="10" t="inlineStr">
        <is>
          <t>3 BR</t>
        </is>
      </c>
      <c r="E21" s="10" t="n">
        <v>20</v>
      </c>
      <c r="F21" s="11" t="n">
        <v>0.48</v>
      </c>
      <c r="G21" s="11">
        <f>IF(F21&lt;&gt;"",F21,IF(D21="Studio",'Market Averages'!$C$7,IF(D21="1 BR",'Market Averages'!$C$8,IF(D21="2 BR",'Market Averages'!$C$9,IF(D21="3 BR",'Market Averages'!$C$10,IF(D21="4 BR",'Market Averages'!$C$11,IF(D21="5 BR",'Market Averages'!$C$12,"")))))))</f>
        <v/>
      </c>
      <c r="H21" s="10">
        <f>IF(OR(D21="",E21=""),"",IF(D21="Studio",1,IF(D21="1 BR",1,IF(D21="2 BR",2,IF(D21="3 BR",3,IF(D21="4 BR",4,IF(D21="5 BR",5,0))))))*E21)</f>
        <v/>
      </c>
      <c r="I21" s="12">
        <f>IF(OR(H21="",G21=""),"",ROUND(H21*G21,0))</f>
        <v/>
      </c>
    </row>
    <row r="22">
      <c r="B22" s="13" t="inlineStr"/>
      <c r="C22" s="13" t="inlineStr"/>
      <c r="D22" s="14" t="inlineStr"/>
      <c r="E22" s="14" t="inlineStr"/>
      <c r="F22" s="15" t="inlineStr"/>
      <c r="G22" s="15">
        <f>IF(F22&lt;&gt;"",F22,IF(D22="Studio",'Market Averages'!$C$7,IF(D22="1 BR",'Market Averages'!$C$8,IF(D22="2 BR",'Market Averages'!$C$9,IF(D22="3 BR",'Market Averages'!$C$10,IF(D22="4 BR",'Market Averages'!$C$11,IF(D22="5 BR",'Market Averages'!$C$12,"")))))))</f>
        <v/>
      </c>
      <c r="H22" s="14">
        <f>IF(OR(D22="",E22=""),"",IF(D22="Studio",1,IF(D22="1 BR",1,IF(D22="2 BR",2,IF(D22="3 BR",3,IF(D22="4 BR",4,IF(D22="5 BR",5,0))))))*E22)</f>
        <v/>
      </c>
      <c r="I22" s="16">
        <f>IF(OR(H22="",G22=""),"",ROUND(H22*G22,0))</f>
        <v/>
      </c>
    </row>
    <row r="23">
      <c r="B23" s="9" t="inlineStr"/>
      <c r="C23" s="9" t="inlineStr"/>
      <c r="D23" s="10" t="inlineStr"/>
      <c r="E23" s="10" t="inlineStr"/>
      <c r="F23" s="11" t="inlineStr"/>
      <c r="G23" s="11">
        <f>IF(F23&lt;&gt;"",F23,IF(D23="Studio",'Market Averages'!$C$7,IF(D23="1 BR",'Market Averages'!$C$8,IF(D23="2 BR",'Market Averages'!$C$9,IF(D23="3 BR",'Market Averages'!$C$10,IF(D23="4 BR",'Market Averages'!$C$11,IF(D23="5 BR",'Market Averages'!$C$12,"")))))))</f>
        <v/>
      </c>
      <c r="H23" s="10">
        <f>IF(OR(D23="",E23=""),"",IF(D23="Studio",1,IF(D23="1 BR",1,IF(D23="2 BR",2,IF(D23="3 BR",3,IF(D23="4 BR",4,IF(D23="5 BR",5,0))))))*E23)</f>
        <v/>
      </c>
      <c r="I23" s="12">
        <f>IF(OR(H23="",G23=""),"",ROUND(H23*G23,0))</f>
        <v/>
      </c>
    </row>
    <row r="24">
      <c r="B24" s="13" t="inlineStr"/>
      <c r="C24" s="13" t="inlineStr"/>
      <c r="D24" s="14" t="inlineStr"/>
      <c r="E24" s="14" t="inlineStr"/>
      <c r="F24" s="15" t="inlineStr"/>
      <c r="G24" s="15">
        <f>IF(F24&lt;&gt;"",F24,IF(D24="Studio",'Market Averages'!$C$7,IF(D24="1 BR",'Market Averages'!$C$8,IF(D24="2 BR",'Market Averages'!$C$9,IF(D24="3 BR",'Market Averages'!$C$10,IF(D24="4 BR",'Market Averages'!$C$11,IF(D24="5 BR",'Market Averages'!$C$12,"")))))))</f>
        <v/>
      </c>
      <c r="H24" s="14">
        <f>IF(OR(D24="",E24=""),"",IF(D24="Studio",1,IF(D24="1 BR",1,IF(D24="2 BR",2,IF(D24="3 BR",3,IF(D24="4 BR",4,IF(D24="5 BR",5,0))))))*E24)</f>
        <v/>
      </c>
      <c r="I24" s="16">
        <f>IF(OR(H24="",G24=""),"",ROUND(H24*G24,0))</f>
        <v/>
      </c>
    </row>
    <row r="25">
      <c r="B25" s="9" t="inlineStr"/>
      <c r="C25" s="9" t="inlineStr"/>
      <c r="D25" s="10" t="inlineStr"/>
      <c r="E25" s="10" t="inlineStr"/>
      <c r="F25" s="11" t="inlineStr"/>
      <c r="G25" s="11">
        <f>IF(F25&lt;&gt;"",F25,IF(D25="Studio",'Market Averages'!$C$7,IF(D25="1 BR",'Market Averages'!$C$8,IF(D25="2 BR",'Market Averages'!$C$9,IF(D25="3 BR",'Market Averages'!$C$10,IF(D25="4 BR",'Market Averages'!$C$11,IF(D25="5 BR",'Market Averages'!$C$12,"")))))))</f>
        <v/>
      </c>
      <c r="H25" s="10">
        <f>IF(OR(D25="",E25=""),"",IF(D25="Studio",1,IF(D25="1 BR",1,IF(D25="2 BR",2,IF(D25="3 BR",3,IF(D25="4 BR",4,IF(D25="5 BR",5,0))))))*E25)</f>
        <v/>
      </c>
      <c r="I25" s="12">
        <f>IF(OR(H25="",G25=""),"",ROUND(H25*G25,0))</f>
        <v/>
      </c>
    </row>
    <row r="26">
      <c r="B26" s="13" t="inlineStr"/>
      <c r="C26" s="13" t="inlineStr"/>
      <c r="D26" s="14" t="inlineStr"/>
      <c r="E26" s="14" t="inlineStr"/>
      <c r="F26" s="15" t="inlineStr"/>
      <c r="G26" s="15">
        <f>IF(F26&lt;&gt;"",F26,IF(D26="Studio",'Market Averages'!$C$7,IF(D26="1 BR",'Market Averages'!$C$8,IF(D26="2 BR",'Market Averages'!$C$9,IF(D26="3 BR",'Market Averages'!$C$10,IF(D26="4 BR",'Market Averages'!$C$11,IF(D26="5 BR",'Market Averages'!$C$12,"")))))))</f>
        <v/>
      </c>
      <c r="H26" s="14">
        <f>IF(OR(D26="",E26=""),"",IF(D26="Studio",1,IF(D26="1 BR",1,IF(D26="2 BR",2,IF(D26="3 BR",3,IF(D26="4 BR",4,IF(D26="5 BR",5,0))))))*E26)</f>
        <v/>
      </c>
      <c r="I26" s="16">
        <f>IF(OR(H26="",G26=""),"",ROUND(H26*G26,0))</f>
        <v/>
      </c>
    </row>
    <row r="27">
      <c r="B27" s="9" t="inlineStr"/>
      <c r="C27" s="9" t="inlineStr"/>
      <c r="D27" s="10" t="inlineStr"/>
      <c r="E27" s="10" t="inlineStr"/>
      <c r="F27" s="11" t="inlineStr"/>
      <c r="G27" s="11">
        <f>IF(F27&lt;&gt;"",F27,IF(D27="Studio",'Market Averages'!$C$7,IF(D27="1 BR",'Market Averages'!$C$8,IF(D27="2 BR",'Market Averages'!$C$9,IF(D27="3 BR",'Market Averages'!$C$10,IF(D27="4 BR",'Market Averages'!$C$11,IF(D27="5 BR",'Market Averages'!$C$12,"")))))))</f>
        <v/>
      </c>
      <c r="H27" s="10">
        <f>IF(OR(D27="",E27=""),"",IF(D27="Studio",1,IF(D27="1 BR",1,IF(D27="2 BR",2,IF(D27="3 BR",3,IF(D27="4 BR",4,IF(D27="5 BR",5,0))))))*E27)</f>
        <v/>
      </c>
      <c r="I27" s="12">
        <f>IF(OR(H27="",G27=""),"",ROUND(H27*G27,0))</f>
        <v/>
      </c>
    </row>
    <row r="28">
      <c r="B28" s="13" t="inlineStr"/>
      <c r="C28" s="13" t="inlineStr"/>
      <c r="D28" s="14" t="inlineStr"/>
      <c r="E28" s="14" t="inlineStr"/>
      <c r="F28" s="15" t="inlineStr"/>
      <c r="G28" s="15">
        <f>IF(F28&lt;&gt;"",F28,IF(D28="Studio",'Market Averages'!$C$7,IF(D28="1 BR",'Market Averages'!$C$8,IF(D28="2 BR",'Market Averages'!$C$9,IF(D28="3 BR",'Market Averages'!$C$10,IF(D28="4 BR",'Market Averages'!$C$11,IF(D28="5 BR",'Market Averages'!$C$12,"")))))))</f>
        <v/>
      </c>
      <c r="H28" s="14">
        <f>IF(OR(D28="",E28=""),"",IF(D28="Studio",1,IF(D28="1 BR",1,IF(D28="2 BR",2,IF(D28="3 BR",3,IF(D28="4 BR",4,IF(D28="5 BR",5,0))))))*E28)</f>
        <v/>
      </c>
      <c r="I28" s="16">
        <f>IF(OR(H28="",G28=""),"",ROUND(H28*G28,0))</f>
        <v/>
      </c>
    </row>
    <row r="29">
      <c r="B29" s="9" t="inlineStr"/>
      <c r="C29" s="9" t="inlineStr"/>
      <c r="D29" s="10" t="inlineStr"/>
      <c r="E29" s="10" t="inlineStr"/>
      <c r="F29" s="11" t="inlineStr"/>
      <c r="G29" s="11">
        <f>IF(F29&lt;&gt;"",F29,IF(D29="Studio",'Market Averages'!$C$7,IF(D29="1 BR",'Market Averages'!$C$8,IF(D29="2 BR",'Market Averages'!$C$9,IF(D29="3 BR",'Market Averages'!$C$10,IF(D29="4 BR",'Market Averages'!$C$11,IF(D29="5 BR",'Market Averages'!$C$12,"")))))))</f>
        <v/>
      </c>
      <c r="H29" s="10">
        <f>IF(OR(D29="",E29=""),"",IF(D29="Studio",1,IF(D29="1 BR",1,IF(D29="2 BR",2,IF(D29="3 BR",3,IF(D29="4 BR",4,IF(D29="5 BR",5,0))))))*E29)</f>
        <v/>
      </c>
      <c r="I29" s="12">
        <f>IF(OR(H29="",G29=""),"",ROUND(H29*G29,0))</f>
        <v/>
      </c>
    </row>
    <row r="30">
      <c r="B30" s="13" t="inlineStr"/>
      <c r="C30" s="13" t="inlineStr"/>
      <c r="D30" s="14" t="inlineStr"/>
      <c r="E30" s="14" t="inlineStr"/>
      <c r="F30" s="15" t="inlineStr"/>
      <c r="G30" s="15">
        <f>IF(F30&lt;&gt;"",F30,IF(D30="Studio",'Market Averages'!$C$7,IF(D30="1 BR",'Market Averages'!$C$8,IF(D30="2 BR",'Market Averages'!$C$9,IF(D30="3 BR",'Market Averages'!$C$10,IF(D30="4 BR",'Market Averages'!$C$11,IF(D30="5 BR",'Market Averages'!$C$12,"")))))))</f>
        <v/>
      </c>
      <c r="H30" s="14">
        <f>IF(OR(D30="",E30=""),"",IF(D30="Studio",1,IF(D30="1 BR",1,IF(D30="2 BR",2,IF(D30="3 BR",3,IF(D30="4 BR",4,IF(D30="5 BR",5,0))))))*E30)</f>
        <v/>
      </c>
      <c r="I30" s="16">
        <f>IF(OR(H30="",G30=""),"",ROUND(H30*G30,0))</f>
        <v/>
      </c>
    </row>
    <row r="31">
      <c r="B31" s="9" t="inlineStr"/>
      <c r="C31" s="9" t="inlineStr"/>
      <c r="D31" s="10" t="inlineStr"/>
      <c r="E31" s="10" t="inlineStr"/>
      <c r="F31" s="11" t="inlineStr"/>
      <c r="G31" s="11">
        <f>IF(F31&lt;&gt;"",F31,IF(D31="Studio",'Market Averages'!$C$7,IF(D31="1 BR",'Market Averages'!$C$8,IF(D31="2 BR",'Market Averages'!$C$9,IF(D31="3 BR",'Market Averages'!$C$10,IF(D31="4 BR",'Market Averages'!$C$11,IF(D31="5 BR",'Market Averages'!$C$12,"")))))))</f>
        <v/>
      </c>
      <c r="H31" s="10">
        <f>IF(OR(D31="",E31=""),"",IF(D31="Studio",1,IF(D31="1 BR",1,IF(D31="2 BR",2,IF(D31="3 BR",3,IF(D31="4 BR",4,IF(D31="5 BR",5,0))))))*E31)</f>
        <v/>
      </c>
      <c r="I31" s="12">
        <f>IF(OR(H31="",G31=""),"",ROUND(H31*G31,0))</f>
        <v/>
      </c>
    </row>
    <row r="32">
      <c r="B32" s="13" t="inlineStr"/>
      <c r="C32" s="13" t="inlineStr"/>
      <c r="D32" s="14" t="inlineStr"/>
      <c r="E32" s="14" t="inlineStr"/>
      <c r="F32" s="15" t="inlineStr"/>
      <c r="G32" s="15">
        <f>IF(F32&lt;&gt;"",F32,IF(D32="Studio",'Market Averages'!$C$7,IF(D32="1 BR",'Market Averages'!$C$8,IF(D32="2 BR",'Market Averages'!$C$9,IF(D32="3 BR",'Market Averages'!$C$10,IF(D32="4 BR",'Market Averages'!$C$11,IF(D32="5 BR",'Market Averages'!$C$12,"")))))))</f>
        <v/>
      </c>
      <c r="H32" s="14">
        <f>IF(OR(D32="",E32=""),"",IF(D32="Studio",1,IF(D32="1 BR",1,IF(D32="2 BR",2,IF(D32="3 BR",3,IF(D32="4 BR",4,IF(D32="5 BR",5,0))))))*E32)</f>
        <v/>
      </c>
      <c r="I32" s="16">
        <f>IF(OR(H32="",G32=""),"",ROUND(H32*G32,0))</f>
        <v/>
      </c>
    </row>
    <row r="33">
      <c r="B33" s="9" t="inlineStr"/>
      <c r="C33" s="9" t="inlineStr"/>
      <c r="D33" s="10" t="inlineStr"/>
      <c r="E33" s="10" t="inlineStr"/>
      <c r="F33" s="11" t="inlineStr"/>
      <c r="G33" s="11">
        <f>IF(F33&lt;&gt;"",F33,IF(D33="Studio",'Market Averages'!$C$7,IF(D33="1 BR",'Market Averages'!$C$8,IF(D33="2 BR",'Market Averages'!$C$9,IF(D33="3 BR",'Market Averages'!$C$10,IF(D33="4 BR",'Market Averages'!$C$11,IF(D33="5 BR",'Market Averages'!$C$12,"")))))))</f>
        <v/>
      </c>
      <c r="H33" s="10">
        <f>IF(OR(D33="",E33=""),"",IF(D33="Studio",1,IF(D33="1 BR",1,IF(D33="2 BR",2,IF(D33="3 BR",3,IF(D33="4 BR",4,IF(D33="5 BR",5,0))))))*E33)</f>
        <v/>
      </c>
      <c r="I33" s="12">
        <f>IF(OR(H33="",G33=""),"",ROUND(H33*G33,0))</f>
        <v/>
      </c>
    </row>
    <row r="34">
      <c r="B34" s="13" t="inlineStr"/>
      <c r="C34" s="13" t="inlineStr"/>
      <c r="D34" s="14" t="inlineStr"/>
      <c r="E34" s="14" t="inlineStr"/>
      <c r="F34" s="15" t="inlineStr"/>
      <c r="G34" s="15">
        <f>IF(F34&lt;&gt;"",F34,IF(D34="Studio",'Market Averages'!$C$7,IF(D34="1 BR",'Market Averages'!$C$8,IF(D34="2 BR",'Market Averages'!$C$9,IF(D34="3 BR",'Market Averages'!$C$10,IF(D34="4 BR",'Market Averages'!$C$11,IF(D34="5 BR",'Market Averages'!$C$12,"")))))))</f>
        <v/>
      </c>
      <c r="H34" s="14">
        <f>IF(OR(D34="",E34=""),"",IF(D34="Studio",1,IF(D34="1 BR",1,IF(D34="2 BR",2,IF(D34="3 BR",3,IF(D34="4 BR",4,IF(D34="5 BR",5,0))))))*E34)</f>
        <v/>
      </c>
      <c r="I34" s="16">
        <f>IF(OR(H34="",G34=""),"",ROUND(H34*G34,0))</f>
        <v/>
      </c>
    </row>
    <row r="35">
      <c r="B35" s="9" t="inlineStr"/>
      <c r="C35" s="9" t="inlineStr"/>
      <c r="D35" s="10" t="inlineStr"/>
      <c r="E35" s="10" t="inlineStr"/>
      <c r="F35" s="11" t="inlineStr"/>
      <c r="G35" s="11">
        <f>IF(F35&lt;&gt;"",F35,IF(D35="Studio",'Market Averages'!$C$7,IF(D35="1 BR",'Market Averages'!$C$8,IF(D35="2 BR",'Market Averages'!$C$9,IF(D35="3 BR",'Market Averages'!$C$10,IF(D35="4 BR",'Market Averages'!$C$11,IF(D35="5 BR",'Market Averages'!$C$12,"")))))))</f>
        <v/>
      </c>
      <c r="H35" s="10">
        <f>IF(OR(D35="",E35=""),"",IF(D35="Studio",1,IF(D35="1 BR",1,IF(D35="2 BR",2,IF(D35="3 BR",3,IF(D35="4 BR",4,IF(D35="5 BR",5,0))))))*E35)</f>
        <v/>
      </c>
      <c r="I35" s="12">
        <f>IF(OR(H35="",G35=""),"",ROUND(H35*G35,0))</f>
        <v/>
      </c>
    </row>
    <row r="36">
      <c r="B36" s="13" t="inlineStr"/>
      <c r="C36" s="13" t="inlineStr"/>
      <c r="D36" s="14" t="inlineStr"/>
      <c r="E36" s="14" t="inlineStr"/>
      <c r="F36" s="15" t="inlineStr"/>
      <c r="G36" s="15">
        <f>IF(F36&lt;&gt;"",F36,IF(D36="Studio",'Market Averages'!$C$7,IF(D36="1 BR",'Market Averages'!$C$8,IF(D36="2 BR",'Market Averages'!$C$9,IF(D36="3 BR",'Market Averages'!$C$10,IF(D36="4 BR",'Market Averages'!$C$11,IF(D36="5 BR",'Market Averages'!$C$12,"")))))))</f>
        <v/>
      </c>
      <c r="H36" s="14">
        <f>IF(OR(D36="",E36=""),"",IF(D36="Studio",1,IF(D36="1 BR",1,IF(D36="2 BR",2,IF(D36="3 BR",3,IF(D36="4 BR",4,IF(D36="5 BR",5,0))))))*E36)</f>
        <v/>
      </c>
      <c r="I36" s="16">
        <f>IF(OR(H36="",G36=""),"",ROUND(H36*G36,0))</f>
        <v/>
      </c>
    </row>
    <row r="37">
      <c r="B37" s="9" t="inlineStr"/>
      <c r="C37" s="9" t="inlineStr"/>
      <c r="D37" s="10" t="inlineStr"/>
      <c r="E37" s="10" t="inlineStr"/>
      <c r="F37" s="11" t="inlineStr"/>
      <c r="G37" s="11">
        <f>IF(F37&lt;&gt;"",F37,IF(D37="Studio",'Market Averages'!$C$7,IF(D37="1 BR",'Market Averages'!$C$8,IF(D37="2 BR",'Market Averages'!$C$9,IF(D37="3 BR",'Market Averages'!$C$10,IF(D37="4 BR",'Market Averages'!$C$11,IF(D37="5 BR",'Market Averages'!$C$12,"")))))))</f>
        <v/>
      </c>
      <c r="H37" s="10">
        <f>IF(OR(D37="",E37=""),"",IF(D37="Studio",1,IF(D37="1 BR",1,IF(D37="2 BR",2,IF(D37="3 BR",3,IF(D37="4 BR",4,IF(D37="5 BR",5,0))))))*E37)</f>
        <v/>
      </c>
      <c r="I37" s="12">
        <f>IF(OR(H37="",G37=""),"",ROUND(H37*G37,0))</f>
        <v/>
      </c>
    </row>
    <row r="38">
      <c r="B38" s="13" t="inlineStr"/>
      <c r="C38" s="13" t="inlineStr"/>
      <c r="D38" s="14" t="inlineStr"/>
      <c r="E38" s="14" t="inlineStr"/>
      <c r="F38" s="15" t="inlineStr"/>
      <c r="G38" s="15">
        <f>IF(F38&lt;&gt;"",F38,IF(D38="Studio",'Market Averages'!$C$7,IF(D38="1 BR",'Market Averages'!$C$8,IF(D38="2 BR",'Market Averages'!$C$9,IF(D38="3 BR",'Market Averages'!$C$10,IF(D38="4 BR",'Market Averages'!$C$11,IF(D38="5 BR",'Market Averages'!$C$12,"")))))))</f>
        <v/>
      </c>
      <c r="H38" s="14">
        <f>IF(OR(D38="",E38=""),"",IF(D38="Studio",1,IF(D38="1 BR",1,IF(D38="2 BR",2,IF(D38="3 BR",3,IF(D38="4 BR",4,IF(D38="5 BR",5,0))))))*E38)</f>
        <v/>
      </c>
      <c r="I38" s="16">
        <f>IF(OR(H38="",G38=""),"",ROUND(H38*G38,0))</f>
        <v/>
      </c>
    </row>
    <row r="39">
      <c r="B39" s="9" t="inlineStr"/>
      <c r="C39" s="9" t="inlineStr"/>
      <c r="D39" s="10" t="inlineStr"/>
      <c r="E39" s="10" t="inlineStr"/>
      <c r="F39" s="11" t="inlineStr"/>
      <c r="G39" s="11">
        <f>IF(F39&lt;&gt;"",F39,IF(D39="Studio",'Market Averages'!$C$7,IF(D39="1 BR",'Market Averages'!$C$8,IF(D39="2 BR",'Market Averages'!$C$9,IF(D39="3 BR",'Market Averages'!$C$10,IF(D39="4 BR",'Market Averages'!$C$11,IF(D39="5 BR",'Market Averages'!$C$12,"")))))))</f>
        <v/>
      </c>
      <c r="H39" s="10">
        <f>IF(OR(D39="",E39=""),"",IF(D39="Studio",1,IF(D39="1 BR",1,IF(D39="2 BR",2,IF(D39="3 BR",3,IF(D39="4 BR",4,IF(D39="5 BR",5,0))))))*E39)</f>
        <v/>
      </c>
      <c r="I39" s="12">
        <f>IF(OR(H39="",G39=""),"",ROUND(H39*G39,0))</f>
        <v/>
      </c>
    </row>
    <row r="40">
      <c r="B40" s="13" t="inlineStr"/>
      <c r="C40" s="13" t="inlineStr"/>
      <c r="D40" s="14" t="inlineStr"/>
      <c r="E40" s="14" t="inlineStr"/>
      <c r="F40" s="15" t="inlineStr"/>
      <c r="G40" s="15">
        <f>IF(F40&lt;&gt;"",F40,IF(D40="Studio",'Market Averages'!$C$7,IF(D40="1 BR",'Market Averages'!$C$8,IF(D40="2 BR",'Market Averages'!$C$9,IF(D40="3 BR",'Market Averages'!$C$10,IF(D40="4 BR",'Market Averages'!$C$11,IF(D40="5 BR",'Market Averages'!$C$12,"")))))))</f>
        <v/>
      </c>
      <c r="H40" s="14">
        <f>IF(OR(D40="",E40=""),"",IF(D40="Studio",1,IF(D40="1 BR",1,IF(D40="2 BR",2,IF(D40="3 BR",3,IF(D40="4 BR",4,IF(D40="5 BR",5,0))))))*E40)</f>
        <v/>
      </c>
      <c r="I40" s="16">
        <f>IF(OR(H40="",G40=""),"",ROUND(H40*G40,0))</f>
        <v/>
      </c>
    </row>
    <row r="41">
      <c r="B41" s="9" t="inlineStr"/>
      <c r="C41" s="9" t="inlineStr"/>
      <c r="D41" s="10" t="inlineStr"/>
      <c r="E41" s="10" t="inlineStr"/>
      <c r="F41" s="11" t="inlineStr"/>
      <c r="G41" s="11">
        <f>IF(F41&lt;&gt;"",F41,IF(D41="Studio",'Market Averages'!$C$7,IF(D41="1 BR",'Market Averages'!$C$8,IF(D41="2 BR",'Market Averages'!$C$9,IF(D41="3 BR",'Market Averages'!$C$10,IF(D41="4 BR",'Market Averages'!$C$11,IF(D41="5 BR",'Market Averages'!$C$12,"")))))))</f>
        <v/>
      </c>
      <c r="H41" s="10">
        <f>IF(OR(D41="",E41=""),"",IF(D41="Studio",1,IF(D41="1 BR",1,IF(D41="2 BR",2,IF(D41="3 BR",3,IF(D41="4 BR",4,IF(D41="5 BR",5,0))))))*E41)</f>
        <v/>
      </c>
      <c r="I41" s="12">
        <f>IF(OR(H41="",G41=""),"",ROUND(H41*G41,0))</f>
        <v/>
      </c>
    </row>
    <row r="42">
      <c r="B42" s="13" t="inlineStr"/>
      <c r="C42" s="13" t="inlineStr"/>
      <c r="D42" s="14" t="inlineStr"/>
      <c r="E42" s="14" t="inlineStr"/>
      <c r="F42" s="15" t="inlineStr"/>
      <c r="G42" s="15">
        <f>IF(F42&lt;&gt;"",F42,IF(D42="Studio",'Market Averages'!$C$7,IF(D42="1 BR",'Market Averages'!$C$8,IF(D42="2 BR",'Market Averages'!$C$9,IF(D42="3 BR",'Market Averages'!$C$10,IF(D42="4 BR",'Market Averages'!$C$11,IF(D42="5 BR",'Market Averages'!$C$12,"")))))))</f>
        <v/>
      </c>
      <c r="H42" s="14">
        <f>IF(OR(D42="",E42=""),"",IF(D42="Studio",1,IF(D42="1 BR",1,IF(D42="2 BR",2,IF(D42="3 BR",3,IF(D42="4 BR",4,IF(D42="5 BR",5,0))))))*E42)</f>
        <v/>
      </c>
      <c r="I42" s="16">
        <f>IF(OR(H42="",G42=""),"",ROUND(H42*G42,0))</f>
        <v/>
      </c>
    </row>
    <row r="43">
      <c r="B43" s="9" t="inlineStr"/>
      <c r="C43" s="9" t="inlineStr"/>
      <c r="D43" s="10" t="inlineStr"/>
      <c r="E43" s="10" t="inlineStr"/>
      <c r="F43" s="11" t="inlineStr"/>
      <c r="G43" s="11">
        <f>IF(F43&lt;&gt;"",F43,IF(D43="Studio",'Market Averages'!$C$7,IF(D43="1 BR",'Market Averages'!$C$8,IF(D43="2 BR",'Market Averages'!$C$9,IF(D43="3 BR",'Market Averages'!$C$10,IF(D43="4 BR",'Market Averages'!$C$11,IF(D43="5 BR",'Market Averages'!$C$12,"")))))))</f>
        <v/>
      </c>
      <c r="H43" s="10">
        <f>IF(OR(D43="",E43=""),"",IF(D43="Studio",1,IF(D43="1 BR",1,IF(D43="2 BR",2,IF(D43="3 BR",3,IF(D43="4 BR",4,IF(D43="5 BR",5,0))))))*E43)</f>
        <v/>
      </c>
      <c r="I43" s="12">
        <f>IF(OR(H43="",G43=""),"",ROUND(H43*G43,0))</f>
        <v/>
      </c>
    </row>
    <row r="44">
      <c r="B44" s="13" t="inlineStr"/>
      <c r="C44" s="13" t="inlineStr"/>
      <c r="D44" s="14" t="inlineStr"/>
      <c r="E44" s="14" t="inlineStr"/>
      <c r="F44" s="15" t="inlineStr"/>
      <c r="G44" s="15">
        <f>IF(F44&lt;&gt;"",F44,IF(D44="Studio",'Market Averages'!$C$7,IF(D44="1 BR",'Market Averages'!$C$8,IF(D44="2 BR",'Market Averages'!$C$9,IF(D44="3 BR",'Market Averages'!$C$10,IF(D44="4 BR",'Market Averages'!$C$11,IF(D44="5 BR",'Market Averages'!$C$12,"")))))))</f>
        <v/>
      </c>
      <c r="H44" s="14">
        <f>IF(OR(D44="",E44=""),"",IF(D44="Studio",1,IF(D44="1 BR",1,IF(D44="2 BR",2,IF(D44="3 BR",3,IF(D44="4 BR",4,IF(D44="5 BR",5,0))))))*E44)</f>
        <v/>
      </c>
      <c r="I44" s="16">
        <f>IF(OR(H44="",G44=""),"",ROUND(H44*G44,0))</f>
        <v/>
      </c>
    </row>
    <row r="45">
      <c r="B45" s="9" t="inlineStr"/>
      <c r="C45" s="9" t="inlineStr"/>
      <c r="D45" s="10" t="inlineStr"/>
      <c r="E45" s="10" t="inlineStr"/>
      <c r="F45" s="11" t="inlineStr"/>
      <c r="G45" s="11">
        <f>IF(F45&lt;&gt;"",F45,IF(D45="Studio",'Market Averages'!$C$7,IF(D45="1 BR",'Market Averages'!$C$8,IF(D45="2 BR",'Market Averages'!$C$9,IF(D45="3 BR",'Market Averages'!$C$10,IF(D45="4 BR",'Market Averages'!$C$11,IF(D45="5 BR",'Market Averages'!$C$12,"")))))))</f>
        <v/>
      </c>
      <c r="H45" s="10">
        <f>IF(OR(D45="",E45=""),"",IF(D45="Studio",1,IF(D45="1 BR",1,IF(D45="2 BR",2,IF(D45="3 BR",3,IF(D45="4 BR",4,IF(D45="5 BR",5,0))))))*E45)</f>
        <v/>
      </c>
      <c r="I45" s="12">
        <f>IF(OR(H45="",G45=""),"",ROUND(H45*G45,0))</f>
        <v/>
      </c>
    </row>
    <row r="46">
      <c r="B46" s="13" t="inlineStr"/>
      <c r="C46" s="13" t="inlineStr"/>
      <c r="D46" s="14" t="inlineStr"/>
      <c r="E46" s="14" t="inlineStr"/>
      <c r="F46" s="15" t="inlineStr"/>
      <c r="G46" s="15">
        <f>IF(F46&lt;&gt;"",F46,IF(D46="Studio",'Market Averages'!$C$7,IF(D46="1 BR",'Market Averages'!$C$8,IF(D46="2 BR",'Market Averages'!$C$9,IF(D46="3 BR",'Market Averages'!$C$10,IF(D46="4 BR",'Market Averages'!$C$11,IF(D46="5 BR",'Market Averages'!$C$12,"")))))))</f>
        <v/>
      </c>
      <c r="H46" s="14">
        <f>IF(OR(D46="",E46=""),"",IF(D46="Studio",1,IF(D46="1 BR",1,IF(D46="2 BR",2,IF(D46="3 BR",3,IF(D46="4 BR",4,IF(D46="5 BR",5,0))))))*E46)</f>
        <v/>
      </c>
      <c r="I46" s="16">
        <f>IF(OR(H46="",G46=""),"",ROUND(H46*G46,0))</f>
        <v/>
      </c>
    </row>
    <row r="47">
      <c r="B47" s="9" t="inlineStr"/>
      <c r="C47" s="9" t="inlineStr"/>
      <c r="D47" s="10" t="inlineStr"/>
      <c r="E47" s="10" t="inlineStr"/>
      <c r="F47" s="11" t="inlineStr"/>
      <c r="G47" s="11">
        <f>IF(F47&lt;&gt;"",F47,IF(D47="Studio",'Market Averages'!$C$7,IF(D47="1 BR",'Market Averages'!$C$8,IF(D47="2 BR",'Market Averages'!$C$9,IF(D47="3 BR",'Market Averages'!$C$10,IF(D47="4 BR",'Market Averages'!$C$11,IF(D47="5 BR",'Market Averages'!$C$12,"")))))))</f>
        <v/>
      </c>
      <c r="H47" s="10">
        <f>IF(OR(D47="",E47=""),"",IF(D47="Studio",1,IF(D47="1 BR",1,IF(D47="2 BR",2,IF(D47="3 BR",3,IF(D47="4 BR",4,IF(D47="5 BR",5,0))))))*E47)</f>
        <v/>
      </c>
      <c r="I47" s="12">
        <f>IF(OR(H47="",G47=""),"",ROUND(H47*G47,0))</f>
        <v/>
      </c>
    </row>
    <row r="48">
      <c r="B48" s="13" t="inlineStr"/>
      <c r="C48" s="13" t="inlineStr"/>
      <c r="D48" s="14" t="inlineStr"/>
      <c r="E48" s="14" t="inlineStr"/>
      <c r="F48" s="15" t="inlineStr"/>
      <c r="G48" s="15">
        <f>IF(F48&lt;&gt;"",F48,IF(D48="Studio",'Market Averages'!$C$7,IF(D48="1 BR",'Market Averages'!$C$8,IF(D48="2 BR",'Market Averages'!$C$9,IF(D48="3 BR",'Market Averages'!$C$10,IF(D48="4 BR",'Market Averages'!$C$11,IF(D48="5 BR",'Market Averages'!$C$12,"")))))))</f>
        <v/>
      </c>
      <c r="H48" s="14">
        <f>IF(OR(D48="",E48=""),"",IF(D48="Studio",1,IF(D48="1 BR",1,IF(D48="2 BR",2,IF(D48="3 BR",3,IF(D48="4 BR",4,IF(D48="5 BR",5,0))))))*E48)</f>
        <v/>
      </c>
      <c r="I48" s="16">
        <f>IF(OR(H48="",G48=""),"",ROUND(H48*G48,0))</f>
        <v/>
      </c>
    </row>
    <row r="49">
      <c r="B49" s="9" t="inlineStr"/>
      <c r="C49" s="9" t="inlineStr"/>
      <c r="D49" s="10" t="inlineStr"/>
      <c r="E49" s="10" t="inlineStr"/>
      <c r="F49" s="11" t="inlineStr"/>
      <c r="G49" s="11">
        <f>IF(F49&lt;&gt;"",F49,IF(D49="Studio",'Market Averages'!$C$7,IF(D49="1 BR",'Market Averages'!$C$8,IF(D49="2 BR",'Market Averages'!$C$9,IF(D49="3 BR",'Market Averages'!$C$10,IF(D49="4 BR",'Market Averages'!$C$11,IF(D49="5 BR",'Market Averages'!$C$12,"")))))))</f>
        <v/>
      </c>
      <c r="H49" s="10">
        <f>IF(OR(D49="",E49=""),"",IF(D49="Studio",1,IF(D49="1 BR",1,IF(D49="2 BR",2,IF(D49="3 BR",3,IF(D49="4 BR",4,IF(D49="5 BR",5,0))))))*E49)</f>
        <v/>
      </c>
      <c r="I49" s="12">
        <f>IF(OR(H49="",G49=""),"",ROUND(H49*G49,0))</f>
        <v/>
      </c>
    </row>
    <row r="50">
      <c r="B50" s="13" t="inlineStr"/>
      <c r="C50" s="13" t="inlineStr"/>
      <c r="D50" s="14" t="inlineStr"/>
      <c r="E50" s="14" t="inlineStr"/>
      <c r="F50" s="15" t="inlineStr"/>
      <c r="G50" s="15">
        <f>IF(F50&lt;&gt;"",F50,IF(D50="Studio",'Market Averages'!$C$7,IF(D50="1 BR",'Market Averages'!$C$8,IF(D50="2 BR",'Market Averages'!$C$9,IF(D50="3 BR",'Market Averages'!$C$10,IF(D50="4 BR",'Market Averages'!$C$11,IF(D50="5 BR",'Market Averages'!$C$12,"")))))))</f>
        <v/>
      </c>
      <c r="H50" s="14">
        <f>IF(OR(D50="",E50=""),"",IF(D50="Studio",1,IF(D50="1 BR",1,IF(D50="2 BR",2,IF(D50="3 BR",3,IF(D50="4 BR",4,IF(D50="5 BR",5,0))))))*E50)</f>
        <v/>
      </c>
      <c r="I50" s="16">
        <f>IF(OR(H50="",G50=""),"",ROUND(H50*G50,0))</f>
        <v/>
      </c>
    </row>
    <row r="51">
      <c r="B51" s="9" t="inlineStr"/>
      <c r="C51" s="9" t="inlineStr"/>
      <c r="D51" s="10" t="inlineStr"/>
      <c r="E51" s="10" t="inlineStr"/>
      <c r="F51" s="11" t="inlineStr"/>
      <c r="G51" s="11">
        <f>IF(F51&lt;&gt;"",F51,IF(D51="Studio",'Market Averages'!$C$7,IF(D51="1 BR",'Market Averages'!$C$8,IF(D51="2 BR",'Market Averages'!$C$9,IF(D51="3 BR",'Market Averages'!$C$10,IF(D51="4 BR",'Market Averages'!$C$11,IF(D51="5 BR",'Market Averages'!$C$12,"")))))))</f>
        <v/>
      </c>
      <c r="H51" s="10">
        <f>IF(OR(D51="",E51=""),"",IF(D51="Studio",1,IF(D51="1 BR",1,IF(D51="2 BR",2,IF(D51="3 BR",3,IF(D51="4 BR",4,IF(D51="5 BR",5,0))))))*E51)</f>
        <v/>
      </c>
      <c r="I51" s="12">
        <f>IF(OR(H51="",G51=""),"",ROUND(H51*G51,0))</f>
        <v/>
      </c>
    </row>
    <row r="52">
      <c r="B52" s="13" t="inlineStr"/>
      <c r="C52" s="13" t="inlineStr"/>
      <c r="D52" s="14" t="inlineStr"/>
      <c r="E52" s="14" t="inlineStr"/>
      <c r="F52" s="15" t="inlineStr"/>
      <c r="G52" s="15">
        <f>IF(F52&lt;&gt;"",F52,IF(D52="Studio",'Market Averages'!$C$7,IF(D52="1 BR",'Market Averages'!$C$8,IF(D52="2 BR",'Market Averages'!$C$9,IF(D52="3 BR",'Market Averages'!$C$10,IF(D52="4 BR",'Market Averages'!$C$11,IF(D52="5 BR",'Market Averages'!$C$12,"")))))))</f>
        <v/>
      </c>
      <c r="H52" s="14">
        <f>IF(OR(D52="",E52=""),"",IF(D52="Studio",1,IF(D52="1 BR",1,IF(D52="2 BR",2,IF(D52="3 BR",3,IF(D52="4 BR",4,IF(D52="5 BR",5,0))))))*E52)</f>
        <v/>
      </c>
      <c r="I52" s="16">
        <f>IF(OR(H52="",G52=""),"",ROUND(H52*G52,0))</f>
        <v/>
      </c>
    </row>
    <row r="53">
      <c r="B53" s="9" t="inlineStr"/>
      <c r="C53" s="9" t="inlineStr"/>
      <c r="D53" s="10" t="inlineStr"/>
      <c r="E53" s="10" t="inlineStr"/>
      <c r="F53" s="11" t="inlineStr"/>
      <c r="G53" s="11">
        <f>IF(F53&lt;&gt;"",F53,IF(D53="Studio",'Market Averages'!$C$7,IF(D53="1 BR",'Market Averages'!$C$8,IF(D53="2 BR",'Market Averages'!$C$9,IF(D53="3 BR",'Market Averages'!$C$10,IF(D53="4 BR",'Market Averages'!$C$11,IF(D53="5 BR",'Market Averages'!$C$12,"")))))))</f>
        <v/>
      </c>
      <c r="H53" s="10">
        <f>IF(OR(D53="",E53=""),"",IF(D53="Studio",1,IF(D53="1 BR",1,IF(D53="2 BR",2,IF(D53="3 BR",3,IF(D53="4 BR",4,IF(D53="5 BR",5,0))))))*E53)</f>
        <v/>
      </c>
      <c r="I53" s="12">
        <f>IF(OR(H53="",G53=""),"",ROUND(H53*G53,0))</f>
        <v/>
      </c>
    </row>
    <row r="54">
      <c r="B54" s="13" t="inlineStr"/>
      <c r="C54" s="13" t="inlineStr"/>
      <c r="D54" s="14" t="inlineStr"/>
      <c r="E54" s="14" t="inlineStr"/>
      <c r="F54" s="15" t="inlineStr"/>
      <c r="G54" s="15">
        <f>IF(F54&lt;&gt;"",F54,IF(D54="Studio",'Market Averages'!$C$7,IF(D54="1 BR",'Market Averages'!$C$8,IF(D54="2 BR",'Market Averages'!$C$9,IF(D54="3 BR",'Market Averages'!$C$10,IF(D54="4 BR",'Market Averages'!$C$11,IF(D54="5 BR",'Market Averages'!$C$12,"")))))))</f>
        <v/>
      </c>
      <c r="H54" s="14">
        <f>IF(OR(D54="",E54=""),"",IF(D54="Studio",1,IF(D54="1 BR",1,IF(D54="2 BR",2,IF(D54="3 BR",3,IF(D54="4 BR",4,IF(D54="5 BR",5,0))))))*E54)</f>
        <v/>
      </c>
      <c r="I54" s="16">
        <f>IF(OR(H54="",G54=""),"",ROUND(H54*G54,0))</f>
        <v/>
      </c>
    </row>
    <row r="55">
      <c r="B55" s="9" t="inlineStr"/>
      <c r="C55" s="9" t="inlineStr"/>
      <c r="D55" s="10" t="inlineStr"/>
      <c r="E55" s="10" t="inlineStr"/>
      <c r="F55" s="11" t="inlineStr"/>
      <c r="G55" s="11">
        <f>IF(F55&lt;&gt;"",F55,IF(D55="Studio",'Market Averages'!$C$7,IF(D55="1 BR",'Market Averages'!$C$8,IF(D55="2 BR",'Market Averages'!$C$9,IF(D55="3 BR",'Market Averages'!$C$10,IF(D55="4 BR",'Market Averages'!$C$11,IF(D55="5 BR",'Market Averages'!$C$12,"")))))))</f>
        <v/>
      </c>
      <c r="H55" s="10">
        <f>IF(OR(D55="",E55=""),"",IF(D55="Studio",1,IF(D55="1 BR",1,IF(D55="2 BR",2,IF(D55="3 BR",3,IF(D55="4 BR",4,IF(D55="5 BR",5,0))))))*E55)</f>
        <v/>
      </c>
      <c r="I55" s="12">
        <f>IF(OR(H55="",G55=""),"",ROUND(H55*G55,0))</f>
        <v/>
      </c>
    </row>
    <row r="56">
      <c r="B56" s="13" t="inlineStr"/>
      <c r="C56" s="13" t="inlineStr"/>
      <c r="D56" s="14" t="inlineStr"/>
      <c r="E56" s="14" t="inlineStr"/>
      <c r="F56" s="15" t="inlineStr"/>
      <c r="G56" s="15">
        <f>IF(F56&lt;&gt;"",F56,IF(D56="Studio",'Market Averages'!$C$7,IF(D56="1 BR",'Market Averages'!$C$8,IF(D56="2 BR",'Market Averages'!$C$9,IF(D56="3 BR",'Market Averages'!$C$10,IF(D56="4 BR",'Market Averages'!$C$11,IF(D56="5 BR",'Market Averages'!$C$12,"")))))))</f>
        <v/>
      </c>
      <c r="H56" s="14">
        <f>IF(OR(D56="",E56=""),"",IF(D56="Studio",1,IF(D56="1 BR",1,IF(D56="2 BR",2,IF(D56="3 BR",3,IF(D56="4 BR",4,IF(D56="5 BR",5,0))))))*E56)</f>
        <v/>
      </c>
      <c r="I56" s="16">
        <f>IF(OR(H56="",G56=""),"",ROUND(H56*G56,0))</f>
        <v/>
      </c>
    </row>
    <row r="57">
      <c r="B57" s="9" t="inlineStr"/>
      <c r="C57" s="9" t="inlineStr"/>
      <c r="D57" s="10" t="inlineStr"/>
      <c r="E57" s="10" t="inlineStr"/>
      <c r="F57" s="11" t="inlineStr"/>
      <c r="G57" s="11">
        <f>IF(F57&lt;&gt;"",F57,IF(D57="Studio",'Market Averages'!$C$7,IF(D57="1 BR",'Market Averages'!$C$8,IF(D57="2 BR",'Market Averages'!$C$9,IF(D57="3 BR",'Market Averages'!$C$10,IF(D57="4 BR",'Market Averages'!$C$11,IF(D57="5 BR",'Market Averages'!$C$12,"")))))))</f>
        <v/>
      </c>
      <c r="H57" s="10">
        <f>IF(OR(D57="",E57=""),"",IF(D57="Studio",1,IF(D57="1 BR",1,IF(D57="2 BR",2,IF(D57="3 BR",3,IF(D57="4 BR",4,IF(D57="5 BR",5,0))))))*E57)</f>
        <v/>
      </c>
      <c r="I57" s="12">
        <f>IF(OR(H57="",G57=""),"",ROUND(H57*G57,0))</f>
        <v/>
      </c>
    </row>
    <row r="58">
      <c r="B58" s="13" t="inlineStr"/>
      <c r="C58" s="13" t="inlineStr"/>
      <c r="D58" s="14" t="inlineStr"/>
      <c r="E58" s="14" t="inlineStr"/>
      <c r="F58" s="15" t="inlineStr"/>
      <c r="G58" s="15">
        <f>IF(F58&lt;&gt;"",F58,IF(D58="Studio",'Market Averages'!$C$7,IF(D58="1 BR",'Market Averages'!$C$8,IF(D58="2 BR",'Market Averages'!$C$9,IF(D58="3 BR",'Market Averages'!$C$10,IF(D58="4 BR",'Market Averages'!$C$11,IF(D58="5 BR",'Market Averages'!$C$12,"")))))))</f>
        <v/>
      </c>
      <c r="H58" s="14">
        <f>IF(OR(D58="",E58=""),"",IF(D58="Studio",1,IF(D58="1 BR",1,IF(D58="2 BR",2,IF(D58="3 BR",3,IF(D58="4 BR",4,IF(D58="5 BR",5,0))))))*E58)</f>
        <v/>
      </c>
      <c r="I58" s="16">
        <f>IF(OR(H58="",G58=""),"",ROUND(H58*G58,0))</f>
        <v/>
      </c>
    </row>
    <row r="59">
      <c r="B59" s="9" t="inlineStr"/>
      <c r="C59" s="9" t="inlineStr"/>
      <c r="D59" s="10" t="inlineStr"/>
      <c r="E59" s="10" t="inlineStr"/>
      <c r="F59" s="11" t="inlineStr"/>
      <c r="G59" s="11">
        <f>IF(F59&lt;&gt;"",F59,IF(D59="Studio",'Market Averages'!$C$7,IF(D59="1 BR",'Market Averages'!$C$8,IF(D59="2 BR",'Market Averages'!$C$9,IF(D59="3 BR",'Market Averages'!$C$10,IF(D59="4 BR",'Market Averages'!$C$11,IF(D59="5 BR",'Market Averages'!$C$12,"")))))))</f>
        <v/>
      </c>
      <c r="H59" s="10">
        <f>IF(OR(D59="",E59=""),"",IF(D59="Studio",1,IF(D59="1 BR",1,IF(D59="2 BR",2,IF(D59="3 BR",3,IF(D59="4 BR",4,IF(D59="5 BR",5,0))))))*E59)</f>
        <v/>
      </c>
      <c r="I59" s="12">
        <f>IF(OR(H59="",G59=""),"",ROUND(H59*G59,0))</f>
        <v/>
      </c>
    </row>
    <row r="60">
      <c r="B60" s="13" t="inlineStr"/>
      <c r="C60" s="13" t="inlineStr"/>
      <c r="D60" s="14" t="inlineStr"/>
      <c r="E60" s="14" t="inlineStr"/>
      <c r="F60" s="15" t="inlineStr"/>
      <c r="G60" s="15">
        <f>IF(F60&lt;&gt;"",F60,IF(D60="Studio",'Market Averages'!$C$7,IF(D60="1 BR",'Market Averages'!$C$8,IF(D60="2 BR",'Market Averages'!$C$9,IF(D60="3 BR",'Market Averages'!$C$10,IF(D60="4 BR",'Market Averages'!$C$11,IF(D60="5 BR",'Market Averages'!$C$12,"")))))))</f>
        <v/>
      </c>
      <c r="H60" s="14">
        <f>IF(OR(D60="",E60=""),"",IF(D60="Studio",1,IF(D60="1 BR",1,IF(D60="2 BR",2,IF(D60="3 BR",3,IF(D60="4 BR",4,IF(D60="5 BR",5,0))))))*E60)</f>
        <v/>
      </c>
      <c r="I60" s="16">
        <f>IF(OR(H60="",G60=""),"",ROUND(H60*G60,0))</f>
        <v/>
      </c>
    </row>
    <row r="61">
      <c r="B61" s="9" t="inlineStr"/>
      <c r="C61" s="9" t="inlineStr"/>
      <c r="D61" s="10" t="inlineStr"/>
      <c r="E61" s="10" t="inlineStr"/>
      <c r="F61" s="11" t="inlineStr"/>
      <c r="G61" s="11">
        <f>IF(F61&lt;&gt;"",F61,IF(D61="Studio",'Market Averages'!$C$7,IF(D61="1 BR",'Market Averages'!$C$8,IF(D61="2 BR",'Market Averages'!$C$9,IF(D61="3 BR",'Market Averages'!$C$10,IF(D61="4 BR",'Market Averages'!$C$11,IF(D61="5 BR",'Market Averages'!$C$12,"")))))))</f>
        <v/>
      </c>
      <c r="H61" s="10">
        <f>IF(OR(D61="",E61=""),"",IF(D61="Studio",1,IF(D61="1 BR",1,IF(D61="2 BR",2,IF(D61="3 BR",3,IF(D61="4 BR",4,IF(D61="5 BR",5,0))))))*E61)</f>
        <v/>
      </c>
      <c r="I61" s="12">
        <f>IF(OR(H61="",G61=""),"",ROUND(H61*G61,0))</f>
        <v/>
      </c>
    </row>
    <row r="62">
      <c r="B62" s="13" t="inlineStr"/>
      <c r="C62" s="13" t="inlineStr"/>
      <c r="D62" s="14" t="inlineStr"/>
      <c r="E62" s="14" t="inlineStr"/>
      <c r="F62" s="15" t="inlineStr"/>
      <c r="G62" s="15">
        <f>IF(F62&lt;&gt;"",F62,IF(D62="Studio",'Market Averages'!$C$7,IF(D62="1 BR",'Market Averages'!$C$8,IF(D62="2 BR",'Market Averages'!$C$9,IF(D62="3 BR",'Market Averages'!$C$10,IF(D62="4 BR",'Market Averages'!$C$11,IF(D62="5 BR",'Market Averages'!$C$12,"")))))))</f>
        <v/>
      </c>
      <c r="H62" s="14">
        <f>IF(OR(D62="",E62=""),"",IF(D62="Studio",1,IF(D62="1 BR",1,IF(D62="2 BR",2,IF(D62="3 BR",3,IF(D62="4 BR",4,IF(D62="5 BR",5,0))))))*E62)</f>
        <v/>
      </c>
      <c r="I62" s="16">
        <f>IF(OR(H62="",G62=""),"",ROUND(H62*G62,0))</f>
        <v/>
      </c>
    </row>
    <row r="63">
      <c r="B63" s="9" t="inlineStr"/>
      <c r="C63" s="9" t="inlineStr"/>
      <c r="D63" s="10" t="inlineStr"/>
      <c r="E63" s="10" t="inlineStr"/>
      <c r="F63" s="11" t="inlineStr"/>
      <c r="G63" s="11">
        <f>IF(F63&lt;&gt;"",F63,IF(D63="Studio",'Market Averages'!$C$7,IF(D63="1 BR",'Market Averages'!$C$8,IF(D63="2 BR",'Market Averages'!$C$9,IF(D63="3 BR",'Market Averages'!$C$10,IF(D63="4 BR",'Market Averages'!$C$11,IF(D63="5 BR",'Market Averages'!$C$12,"")))))))</f>
        <v/>
      </c>
      <c r="H63" s="10">
        <f>IF(OR(D63="",E63=""),"",IF(D63="Studio",1,IF(D63="1 BR",1,IF(D63="2 BR",2,IF(D63="3 BR",3,IF(D63="4 BR",4,IF(D63="5 BR",5,0))))))*E63)</f>
        <v/>
      </c>
      <c r="I63" s="12">
        <f>IF(OR(H63="",G63=""),"",ROUND(H63*G63,0))</f>
        <v/>
      </c>
    </row>
    <row r="64">
      <c r="B64" s="13" t="inlineStr"/>
      <c r="C64" s="13" t="inlineStr"/>
      <c r="D64" s="14" t="inlineStr"/>
      <c r="E64" s="14" t="inlineStr"/>
      <c r="F64" s="15" t="inlineStr"/>
      <c r="G64" s="15">
        <f>IF(F64&lt;&gt;"",F64,IF(D64="Studio",'Market Averages'!$C$7,IF(D64="1 BR",'Market Averages'!$C$8,IF(D64="2 BR",'Market Averages'!$C$9,IF(D64="3 BR",'Market Averages'!$C$10,IF(D64="4 BR",'Market Averages'!$C$11,IF(D64="5 BR",'Market Averages'!$C$12,"")))))))</f>
        <v/>
      </c>
      <c r="H64" s="14">
        <f>IF(OR(D64="",E64=""),"",IF(D64="Studio",1,IF(D64="1 BR",1,IF(D64="2 BR",2,IF(D64="3 BR",3,IF(D64="4 BR",4,IF(D64="5 BR",5,0))))))*E64)</f>
        <v/>
      </c>
      <c r="I64" s="16">
        <f>IF(OR(H64="",G64=""),"",ROUND(H64*G64,0))</f>
        <v/>
      </c>
    </row>
    <row r="65">
      <c r="B65" s="9" t="inlineStr"/>
      <c r="C65" s="9" t="inlineStr"/>
      <c r="D65" s="10" t="inlineStr"/>
      <c r="E65" s="10" t="inlineStr"/>
      <c r="F65" s="11" t="inlineStr"/>
      <c r="G65" s="11">
        <f>IF(F65&lt;&gt;"",F65,IF(D65="Studio",'Market Averages'!$C$7,IF(D65="1 BR",'Market Averages'!$C$8,IF(D65="2 BR",'Market Averages'!$C$9,IF(D65="3 BR",'Market Averages'!$C$10,IF(D65="4 BR",'Market Averages'!$C$11,IF(D65="5 BR",'Market Averages'!$C$12,"")))))))</f>
        <v/>
      </c>
      <c r="H65" s="10">
        <f>IF(OR(D65="",E65=""),"",IF(D65="Studio",1,IF(D65="1 BR",1,IF(D65="2 BR",2,IF(D65="3 BR",3,IF(D65="4 BR",4,IF(D65="5 BR",5,0))))))*E65)</f>
        <v/>
      </c>
      <c r="I65" s="12">
        <f>IF(OR(H65="",G65=""),"",ROUND(H65*G65,0))</f>
        <v/>
      </c>
    </row>
    <row r="66">
      <c r="B66" s="13" t="inlineStr"/>
      <c r="C66" s="13" t="inlineStr"/>
      <c r="D66" s="14" t="inlineStr"/>
      <c r="E66" s="14" t="inlineStr"/>
      <c r="F66" s="15" t="inlineStr"/>
      <c r="G66" s="15">
        <f>IF(F66&lt;&gt;"",F66,IF(D66="Studio",'Market Averages'!$C$7,IF(D66="1 BR",'Market Averages'!$C$8,IF(D66="2 BR",'Market Averages'!$C$9,IF(D66="3 BR",'Market Averages'!$C$10,IF(D66="4 BR",'Market Averages'!$C$11,IF(D66="5 BR",'Market Averages'!$C$12,"")))))))</f>
        <v/>
      </c>
      <c r="H66" s="14">
        <f>IF(OR(D66="",E66=""),"",IF(D66="Studio",1,IF(D66="1 BR",1,IF(D66="2 BR",2,IF(D66="3 BR",3,IF(D66="4 BR",4,IF(D66="5 BR",5,0))))))*E66)</f>
        <v/>
      </c>
      <c r="I66" s="16">
        <f>IF(OR(H66="",G66=""),"",ROUND(H66*G66,0))</f>
        <v/>
      </c>
    </row>
    <row r="67">
      <c r="B67" s="9" t="inlineStr"/>
      <c r="C67" s="9" t="inlineStr"/>
      <c r="D67" s="10" t="inlineStr"/>
      <c r="E67" s="10" t="inlineStr"/>
      <c r="F67" s="11" t="inlineStr"/>
      <c r="G67" s="11">
        <f>IF(F67&lt;&gt;"",F67,IF(D67="Studio",'Market Averages'!$C$7,IF(D67="1 BR",'Market Averages'!$C$8,IF(D67="2 BR",'Market Averages'!$C$9,IF(D67="3 BR",'Market Averages'!$C$10,IF(D67="4 BR",'Market Averages'!$C$11,IF(D67="5 BR",'Market Averages'!$C$12,"")))))))</f>
        <v/>
      </c>
      <c r="H67" s="10">
        <f>IF(OR(D67="",E67=""),"",IF(D67="Studio",1,IF(D67="1 BR",1,IF(D67="2 BR",2,IF(D67="3 BR",3,IF(D67="4 BR",4,IF(D67="5 BR",5,0))))))*E67)</f>
        <v/>
      </c>
      <c r="I67" s="12">
        <f>IF(OR(H67="",G67=""),"",ROUND(H67*G67,0))</f>
        <v/>
      </c>
    </row>
    <row r="68">
      <c r="B68" s="13" t="inlineStr"/>
      <c r="C68" s="13" t="inlineStr"/>
      <c r="D68" s="14" t="inlineStr"/>
      <c r="E68" s="14" t="inlineStr"/>
      <c r="F68" s="15" t="inlineStr"/>
      <c r="G68" s="15">
        <f>IF(F68&lt;&gt;"",F68,IF(D68="Studio",'Market Averages'!$C$7,IF(D68="1 BR",'Market Averages'!$C$8,IF(D68="2 BR",'Market Averages'!$C$9,IF(D68="3 BR",'Market Averages'!$C$10,IF(D68="4 BR",'Market Averages'!$C$11,IF(D68="5 BR",'Market Averages'!$C$12,"")))))))</f>
        <v/>
      </c>
      <c r="H68" s="14">
        <f>IF(OR(D68="",E68=""),"",IF(D68="Studio",1,IF(D68="1 BR",1,IF(D68="2 BR",2,IF(D68="3 BR",3,IF(D68="4 BR",4,IF(D68="5 BR",5,0))))))*E68)</f>
        <v/>
      </c>
      <c r="I68" s="16">
        <f>IF(OR(H68="",G68=""),"",ROUND(H68*G68,0))</f>
        <v/>
      </c>
    </row>
    <row r="69">
      <c r="B69" s="9" t="inlineStr"/>
      <c r="C69" s="9" t="inlineStr"/>
      <c r="D69" s="10" t="inlineStr"/>
      <c r="E69" s="10" t="inlineStr"/>
      <c r="F69" s="11" t="inlineStr"/>
      <c r="G69" s="11">
        <f>IF(F69&lt;&gt;"",F69,IF(D69="Studio",'Market Averages'!$C$7,IF(D69="1 BR",'Market Averages'!$C$8,IF(D69="2 BR",'Market Averages'!$C$9,IF(D69="3 BR",'Market Averages'!$C$10,IF(D69="4 BR",'Market Averages'!$C$11,IF(D69="5 BR",'Market Averages'!$C$12,"")))))))</f>
        <v/>
      </c>
      <c r="H69" s="10">
        <f>IF(OR(D69="",E69=""),"",IF(D69="Studio",1,IF(D69="1 BR",1,IF(D69="2 BR",2,IF(D69="3 BR",3,IF(D69="4 BR",4,IF(D69="5 BR",5,0))))))*E69)</f>
        <v/>
      </c>
      <c r="I69" s="12">
        <f>IF(OR(H69="",G69=""),"",ROUND(H69*G69,0))</f>
        <v/>
      </c>
    </row>
    <row r="70">
      <c r="B70" s="13" t="inlineStr"/>
      <c r="C70" s="13" t="inlineStr"/>
      <c r="D70" s="14" t="inlineStr"/>
      <c r="E70" s="14" t="inlineStr"/>
      <c r="F70" s="15" t="inlineStr"/>
      <c r="G70" s="15">
        <f>IF(F70&lt;&gt;"",F70,IF(D70="Studio",'Market Averages'!$C$7,IF(D70="1 BR",'Market Averages'!$C$8,IF(D70="2 BR",'Market Averages'!$C$9,IF(D70="3 BR",'Market Averages'!$C$10,IF(D70="4 BR",'Market Averages'!$C$11,IF(D70="5 BR",'Market Averages'!$C$12,"")))))))</f>
        <v/>
      </c>
      <c r="H70" s="14">
        <f>IF(OR(D70="",E70=""),"",IF(D70="Studio",1,IF(D70="1 BR",1,IF(D70="2 BR",2,IF(D70="3 BR",3,IF(D70="4 BR",4,IF(D70="5 BR",5,0))))))*E70)</f>
        <v/>
      </c>
      <c r="I70" s="16">
        <f>IF(OR(H70="",G70=""),"",ROUND(H70*G70,0))</f>
        <v/>
      </c>
    </row>
    <row r="71">
      <c r="B71" s="9" t="inlineStr"/>
      <c r="C71" s="9" t="inlineStr"/>
      <c r="D71" s="10" t="inlineStr"/>
      <c r="E71" s="10" t="inlineStr"/>
      <c r="F71" s="11" t="inlineStr"/>
      <c r="G71" s="11">
        <f>IF(F71&lt;&gt;"",F71,IF(D71="Studio",'Market Averages'!$C$7,IF(D71="1 BR",'Market Averages'!$C$8,IF(D71="2 BR",'Market Averages'!$C$9,IF(D71="3 BR",'Market Averages'!$C$10,IF(D71="4 BR",'Market Averages'!$C$11,IF(D71="5 BR",'Market Averages'!$C$12,"")))))))</f>
        <v/>
      </c>
      <c r="H71" s="10">
        <f>IF(OR(D71="",E71=""),"",IF(D71="Studio",1,IF(D71="1 BR",1,IF(D71="2 BR",2,IF(D71="3 BR",3,IF(D71="4 BR",4,IF(D71="5 BR",5,0))))))*E71)</f>
        <v/>
      </c>
      <c r="I71" s="12">
        <f>IF(OR(H71="",G71=""),"",ROUND(H71*G71,0))</f>
        <v/>
      </c>
    </row>
    <row r="72">
      <c r="B72" s="13" t="inlineStr"/>
      <c r="C72" s="13" t="inlineStr"/>
      <c r="D72" s="14" t="inlineStr"/>
      <c r="E72" s="14" t="inlineStr"/>
      <c r="F72" s="15" t="inlineStr"/>
      <c r="G72" s="15">
        <f>IF(F72&lt;&gt;"",F72,IF(D72="Studio",'Market Averages'!$C$7,IF(D72="1 BR",'Market Averages'!$C$8,IF(D72="2 BR",'Market Averages'!$C$9,IF(D72="3 BR",'Market Averages'!$C$10,IF(D72="4 BR",'Market Averages'!$C$11,IF(D72="5 BR",'Market Averages'!$C$12,"")))))))</f>
        <v/>
      </c>
      <c r="H72" s="14">
        <f>IF(OR(D72="",E72=""),"",IF(D72="Studio",1,IF(D72="1 BR",1,IF(D72="2 BR",2,IF(D72="3 BR",3,IF(D72="4 BR",4,IF(D72="5 BR",5,0))))))*E72)</f>
        <v/>
      </c>
      <c r="I72" s="16">
        <f>IF(OR(H72="",G72=""),"",ROUND(H72*G72,0))</f>
        <v/>
      </c>
    </row>
    <row r="73">
      <c r="B73" s="9" t="inlineStr"/>
      <c r="C73" s="9" t="inlineStr"/>
      <c r="D73" s="10" t="inlineStr"/>
      <c r="E73" s="10" t="inlineStr"/>
      <c r="F73" s="11" t="inlineStr"/>
      <c r="G73" s="11">
        <f>IF(F73&lt;&gt;"",F73,IF(D73="Studio",'Market Averages'!$C$7,IF(D73="1 BR",'Market Averages'!$C$8,IF(D73="2 BR",'Market Averages'!$C$9,IF(D73="3 BR",'Market Averages'!$C$10,IF(D73="4 BR",'Market Averages'!$C$11,IF(D73="5 BR",'Market Averages'!$C$12,"")))))))</f>
        <v/>
      </c>
      <c r="H73" s="10">
        <f>IF(OR(D73="",E73=""),"",IF(D73="Studio",1,IF(D73="1 BR",1,IF(D73="2 BR",2,IF(D73="3 BR",3,IF(D73="4 BR",4,IF(D73="5 BR",5,0))))))*E73)</f>
        <v/>
      </c>
      <c r="I73" s="12">
        <f>IF(OR(H73="",G73=""),"",ROUND(H73*G73,0))</f>
        <v/>
      </c>
    </row>
    <row r="74">
      <c r="B74" s="13" t="inlineStr"/>
      <c r="C74" s="13" t="inlineStr"/>
      <c r="D74" s="14" t="inlineStr"/>
      <c r="E74" s="14" t="inlineStr"/>
      <c r="F74" s="15" t="inlineStr"/>
      <c r="G74" s="15">
        <f>IF(F74&lt;&gt;"",F74,IF(D74="Studio",'Market Averages'!$C$7,IF(D74="1 BR",'Market Averages'!$C$8,IF(D74="2 BR",'Market Averages'!$C$9,IF(D74="3 BR",'Market Averages'!$C$10,IF(D74="4 BR",'Market Averages'!$C$11,IF(D74="5 BR",'Market Averages'!$C$12,"")))))))</f>
        <v/>
      </c>
      <c r="H74" s="14">
        <f>IF(OR(D74="",E74=""),"",IF(D74="Studio",1,IF(D74="1 BR",1,IF(D74="2 BR",2,IF(D74="3 BR",3,IF(D74="4 BR",4,IF(D74="5 BR",5,0))))))*E74)</f>
        <v/>
      </c>
      <c r="I74" s="16">
        <f>IF(OR(H74="",G74=""),"",ROUND(H74*G74,0))</f>
        <v/>
      </c>
    </row>
    <row r="75">
      <c r="B75" s="9" t="inlineStr"/>
      <c r="C75" s="9" t="inlineStr"/>
      <c r="D75" s="10" t="inlineStr"/>
      <c r="E75" s="10" t="inlineStr"/>
      <c r="F75" s="11" t="inlineStr"/>
      <c r="G75" s="11">
        <f>IF(F75&lt;&gt;"",F75,IF(D75="Studio",'Market Averages'!$C$7,IF(D75="1 BR",'Market Averages'!$C$8,IF(D75="2 BR",'Market Averages'!$C$9,IF(D75="3 BR",'Market Averages'!$C$10,IF(D75="4 BR",'Market Averages'!$C$11,IF(D75="5 BR",'Market Averages'!$C$12,"")))))))</f>
        <v/>
      </c>
      <c r="H75" s="10">
        <f>IF(OR(D75="",E75=""),"",IF(D75="Studio",1,IF(D75="1 BR",1,IF(D75="2 BR",2,IF(D75="3 BR",3,IF(D75="4 BR",4,IF(D75="5 BR",5,0))))))*E75)</f>
        <v/>
      </c>
      <c r="I75" s="12">
        <f>IF(OR(H75="",G75=""),"",ROUND(H75*G75,0))</f>
        <v/>
      </c>
    </row>
    <row r="76">
      <c r="B76" s="13" t="inlineStr"/>
      <c r="C76" s="13" t="inlineStr"/>
      <c r="D76" s="14" t="inlineStr"/>
      <c r="E76" s="14" t="inlineStr"/>
      <c r="F76" s="15" t="inlineStr"/>
      <c r="G76" s="15">
        <f>IF(F76&lt;&gt;"",F76,IF(D76="Studio",'Market Averages'!$C$7,IF(D76="1 BR",'Market Averages'!$C$8,IF(D76="2 BR",'Market Averages'!$C$9,IF(D76="3 BR",'Market Averages'!$C$10,IF(D76="4 BR",'Market Averages'!$C$11,IF(D76="5 BR",'Market Averages'!$C$12,"")))))))</f>
        <v/>
      </c>
      <c r="H76" s="14">
        <f>IF(OR(D76="",E76=""),"",IF(D76="Studio",1,IF(D76="1 BR",1,IF(D76="2 BR",2,IF(D76="3 BR",3,IF(D76="4 BR",4,IF(D76="5 BR",5,0))))))*E76)</f>
        <v/>
      </c>
      <c r="I76" s="16">
        <f>IF(OR(H76="",G76=""),"",ROUND(H76*G76,0))</f>
        <v/>
      </c>
    </row>
    <row r="77">
      <c r="B77" s="9" t="inlineStr"/>
      <c r="C77" s="9" t="inlineStr"/>
      <c r="D77" s="10" t="inlineStr"/>
      <c r="E77" s="10" t="inlineStr"/>
      <c r="F77" s="11" t="inlineStr"/>
      <c r="G77" s="11">
        <f>IF(F77&lt;&gt;"",F77,IF(D77="Studio",'Market Averages'!$C$7,IF(D77="1 BR",'Market Averages'!$C$8,IF(D77="2 BR",'Market Averages'!$C$9,IF(D77="3 BR",'Market Averages'!$C$10,IF(D77="4 BR",'Market Averages'!$C$11,IF(D77="5 BR",'Market Averages'!$C$12,"")))))))</f>
        <v/>
      </c>
      <c r="H77" s="10">
        <f>IF(OR(D77="",E77=""),"",IF(D77="Studio",1,IF(D77="1 BR",1,IF(D77="2 BR",2,IF(D77="3 BR",3,IF(D77="4 BR",4,IF(D77="5 BR",5,0))))))*E77)</f>
        <v/>
      </c>
      <c r="I77" s="12">
        <f>IF(OR(H77="",G77=""),"",ROUND(H77*G77,0))</f>
        <v/>
      </c>
    </row>
    <row r="78">
      <c r="B78" s="13" t="inlineStr"/>
      <c r="C78" s="13" t="inlineStr"/>
      <c r="D78" s="14" t="inlineStr"/>
      <c r="E78" s="14" t="inlineStr"/>
      <c r="F78" s="15" t="inlineStr"/>
      <c r="G78" s="15">
        <f>IF(F78&lt;&gt;"",F78,IF(D78="Studio",'Market Averages'!$C$7,IF(D78="1 BR",'Market Averages'!$C$8,IF(D78="2 BR",'Market Averages'!$C$9,IF(D78="3 BR",'Market Averages'!$C$10,IF(D78="4 BR",'Market Averages'!$C$11,IF(D78="5 BR",'Market Averages'!$C$12,"")))))))</f>
        <v/>
      </c>
      <c r="H78" s="14">
        <f>IF(OR(D78="",E78=""),"",IF(D78="Studio",1,IF(D78="1 BR",1,IF(D78="2 BR",2,IF(D78="3 BR",3,IF(D78="4 BR",4,IF(D78="5 BR",5,0))))))*E78)</f>
        <v/>
      </c>
      <c r="I78" s="16">
        <f>IF(OR(H78="",G78=""),"",ROUND(H78*G78,0))</f>
        <v/>
      </c>
    </row>
    <row r="79">
      <c r="B79" s="9" t="inlineStr"/>
      <c r="C79" s="9" t="inlineStr"/>
      <c r="D79" s="10" t="inlineStr"/>
      <c r="E79" s="10" t="inlineStr"/>
      <c r="F79" s="11" t="inlineStr"/>
      <c r="G79" s="11">
        <f>IF(F79&lt;&gt;"",F79,IF(D79="Studio",'Market Averages'!$C$7,IF(D79="1 BR",'Market Averages'!$C$8,IF(D79="2 BR",'Market Averages'!$C$9,IF(D79="3 BR",'Market Averages'!$C$10,IF(D79="4 BR",'Market Averages'!$C$11,IF(D79="5 BR",'Market Averages'!$C$12,"")))))))</f>
        <v/>
      </c>
      <c r="H79" s="10">
        <f>IF(OR(D79="",E79=""),"",IF(D79="Studio",1,IF(D79="1 BR",1,IF(D79="2 BR",2,IF(D79="3 BR",3,IF(D79="4 BR",4,IF(D79="5 BR",5,0))))))*E79)</f>
        <v/>
      </c>
      <c r="I79" s="12">
        <f>IF(OR(H79="",G79=""),"",ROUND(H79*G79,0))</f>
        <v/>
      </c>
    </row>
    <row r="80">
      <c r="B80" s="13" t="inlineStr"/>
      <c r="C80" s="13" t="inlineStr"/>
      <c r="D80" s="14" t="inlineStr"/>
      <c r="E80" s="14" t="inlineStr"/>
      <c r="F80" s="15" t="inlineStr"/>
      <c r="G80" s="15">
        <f>IF(F80&lt;&gt;"",F80,IF(D80="Studio",'Market Averages'!$C$7,IF(D80="1 BR",'Market Averages'!$C$8,IF(D80="2 BR",'Market Averages'!$C$9,IF(D80="3 BR",'Market Averages'!$C$10,IF(D80="4 BR",'Market Averages'!$C$11,IF(D80="5 BR",'Market Averages'!$C$12,"")))))))</f>
        <v/>
      </c>
      <c r="H80" s="14">
        <f>IF(OR(D80="",E80=""),"",IF(D80="Studio",1,IF(D80="1 BR",1,IF(D80="2 BR",2,IF(D80="3 BR",3,IF(D80="4 BR",4,IF(D80="5 BR",5,0))))))*E80)</f>
        <v/>
      </c>
      <c r="I80" s="16">
        <f>IF(OR(H80="",G80=""),"",ROUND(H80*G80,0))</f>
        <v/>
      </c>
    </row>
    <row r="81">
      <c r="B81" s="9" t="inlineStr"/>
      <c r="C81" s="9" t="inlineStr"/>
      <c r="D81" s="10" t="inlineStr"/>
      <c r="E81" s="10" t="inlineStr"/>
      <c r="F81" s="11" t="inlineStr"/>
      <c r="G81" s="11">
        <f>IF(F81&lt;&gt;"",F81,IF(D81="Studio",'Market Averages'!$C$7,IF(D81="1 BR",'Market Averages'!$C$8,IF(D81="2 BR",'Market Averages'!$C$9,IF(D81="3 BR",'Market Averages'!$C$10,IF(D81="4 BR",'Market Averages'!$C$11,IF(D81="5 BR",'Market Averages'!$C$12,"")))))))</f>
        <v/>
      </c>
      <c r="H81" s="10">
        <f>IF(OR(D81="",E81=""),"",IF(D81="Studio",1,IF(D81="1 BR",1,IF(D81="2 BR",2,IF(D81="3 BR",3,IF(D81="4 BR",4,IF(D81="5 BR",5,0))))))*E81)</f>
        <v/>
      </c>
      <c r="I81" s="12">
        <f>IF(OR(H81="",G81=""),"",ROUND(H81*G81,0))</f>
        <v/>
      </c>
    </row>
    <row r="82">
      <c r="B82" s="13" t="inlineStr"/>
      <c r="C82" s="13" t="inlineStr"/>
      <c r="D82" s="14" t="inlineStr"/>
      <c r="E82" s="14" t="inlineStr"/>
      <c r="F82" s="15" t="inlineStr"/>
      <c r="G82" s="15">
        <f>IF(F82&lt;&gt;"",F82,IF(D82="Studio",'Market Averages'!$C$7,IF(D82="1 BR",'Market Averages'!$C$8,IF(D82="2 BR",'Market Averages'!$C$9,IF(D82="3 BR",'Market Averages'!$C$10,IF(D82="4 BR",'Market Averages'!$C$11,IF(D82="5 BR",'Market Averages'!$C$12,"")))))))</f>
        <v/>
      </c>
      <c r="H82" s="14">
        <f>IF(OR(D82="",E82=""),"",IF(D82="Studio",1,IF(D82="1 BR",1,IF(D82="2 BR",2,IF(D82="3 BR",3,IF(D82="4 BR",4,IF(D82="5 BR",5,0))))))*E82)</f>
        <v/>
      </c>
      <c r="I82" s="16">
        <f>IF(OR(H82="",G82=""),"",ROUND(H82*G82,0))</f>
        <v/>
      </c>
    </row>
    <row r="83">
      <c r="B83" s="9" t="inlineStr"/>
      <c r="C83" s="9" t="inlineStr"/>
      <c r="D83" s="10" t="inlineStr"/>
      <c r="E83" s="10" t="inlineStr"/>
      <c r="F83" s="11" t="inlineStr"/>
      <c r="G83" s="11">
        <f>IF(F83&lt;&gt;"",F83,IF(D83="Studio",'Market Averages'!$C$7,IF(D83="1 BR",'Market Averages'!$C$8,IF(D83="2 BR",'Market Averages'!$C$9,IF(D83="3 BR",'Market Averages'!$C$10,IF(D83="4 BR",'Market Averages'!$C$11,IF(D83="5 BR",'Market Averages'!$C$12,"")))))))</f>
        <v/>
      </c>
      <c r="H83" s="10">
        <f>IF(OR(D83="",E83=""),"",IF(D83="Studio",1,IF(D83="1 BR",1,IF(D83="2 BR",2,IF(D83="3 BR",3,IF(D83="4 BR",4,IF(D83="5 BR",5,0))))))*E83)</f>
        <v/>
      </c>
      <c r="I83" s="12">
        <f>IF(OR(H83="",G83=""),"",ROUND(H83*G83,0))</f>
        <v/>
      </c>
    </row>
    <row r="84">
      <c r="B84" s="13" t="inlineStr"/>
      <c r="C84" s="13" t="inlineStr"/>
      <c r="D84" s="14" t="inlineStr"/>
      <c r="E84" s="14" t="inlineStr"/>
      <c r="F84" s="15" t="inlineStr"/>
      <c r="G84" s="15">
        <f>IF(F84&lt;&gt;"",F84,IF(D84="Studio",'Market Averages'!$C$7,IF(D84="1 BR",'Market Averages'!$C$8,IF(D84="2 BR",'Market Averages'!$C$9,IF(D84="3 BR",'Market Averages'!$C$10,IF(D84="4 BR",'Market Averages'!$C$11,IF(D84="5 BR",'Market Averages'!$C$12,"")))))))</f>
        <v/>
      </c>
      <c r="H84" s="14">
        <f>IF(OR(D84="",E84=""),"",IF(D84="Studio",1,IF(D84="1 BR",1,IF(D84="2 BR",2,IF(D84="3 BR",3,IF(D84="4 BR",4,IF(D84="5 BR",5,0))))))*E84)</f>
        <v/>
      </c>
      <c r="I84" s="16">
        <f>IF(OR(H84="",G84=""),"",ROUND(H84*G84,0))</f>
        <v/>
      </c>
    </row>
    <row r="85">
      <c r="B85" s="9" t="inlineStr"/>
      <c r="C85" s="9" t="inlineStr"/>
      <c r="D85" s="10" t="inlineStr"/>
      <c r="E85" s="10" t="inlineStr"/>
      <c r="F85" s="11" t="inlineStr"/>
      <c r="G85" s="11">
        <f>IF(F85&lt;&gt;"",F85,IF(D85="Studio",'Market Averages'!$C$7,IF(D85="1 BR",'Market Averages'!$C$8,IF(D85="2 BR",'Market Averages'!$C$9,IF(D85="3 BR",'Market Averages'!$C$10,IF(D85="4 BR",'Market Averages'!$C$11,IF(D85="5 BR",'Market Averages'!$C$12,"")))))))</f>
        <v/>
      </c>
      <c r="H85" s="10">
        <f>IF(OR(D85="",E85=""),"",IF(D85="Studio",1,IF(D85="1 BR",1,IF(D85="2 BR",2,IF(D85="3 BR",3,IF(D85="4 BR",4,IF(D85="5 BR",5,0))))))*E85)</f>
        <v/>
      </c>
      <c r="I85" s="12">
        <f>IF(OR(H85="",G85=""),"",ROUND(H85*G85,0))</f>
        <v/>
      </c>
    </row>
    <row r="86">
      <c r="B86" s="13" t="inlineStr"/>
      <c r="C86" s="13" t="inlineStr"/>
      <c r="D86" s="14" t="inlineStr"/>
      <c r="E86" s="14" t="inlineStr"/>
      <c r="F86" s="15" t="inlineStr"/>
      <c r="G86" s="15">
        <f>IF(F86&lt;&gt;"",F86,IF(D86="Studio",'Market Averages'!$C$7,IF(D86="1 BR",'Market Averages'!$C$8,IF(D86="2 BR",'Market Averages'!$C$9,IF(D86="3 BR",'Market Averages'!$C$10,IF(D86="4 BR",'Market Averages'!$C$11,IF(D86="5 BR",'Market Averages'!$C$12,"")))))))</f>
        <v/>
      </c>
      <c r="H86" s="14">
        <f>IF(OR(D86="",E86=""),"",IF(D86="Studio",1,IF(D86="1 BR",1,IF(D86="2 BR",2,IF(D86="3 BR",3,IF(D86="4 BR",4,IF(D86="5 BR",5,0))))))*E86)</f>
        <v/>
      </c>
      <c r="I86" s="16">
        <f>IF(OR(H86="",G86=""),"",ROUND(H86*G86,0))</f>
        <v/>
      </c>
    </row>
    <row r="87">
      <c r="B87" s="9" t="inlineStr"/>
      <c r="C87" s="9" t="inlineStr"/>
      <c r="D87" s="10" t="inlineStr"/>
      <c r="E87" s="10" t="inlineStr"/>
      <c r="F87" s="11" t="inlineStr"/>
      <c r="G87" s="11">
        <f>IF(F87&lt;&gt;"",F87,IF(D87="Studio",'Market Averages'!$C$7,IF(D87="1 BR",'Market Averages'!$C$8,IF(D87="2 BR",'Market Averages'!$C$9,IF(D87="3 BR",'Market Averages'!$C$10,IF(D87="4 BR",'Market Averages'!$C$11,IF(D87="5 BR",'Market Averages'!$C$12,"")))))))</f>
        <v/>
      </c>
      <c r="H87" s="10">
        <f>IF(OR(D87="",E87=""),"",IF(D87="Studio",1,IF(D87="1 BR",1,IF(D87="2 BR",2,IF(D87="3 BR",3,IF(D87="4 BR",4,IF(D87="5 BR",5,0))))))*E87)</f>
        <v/>
      </c>
      <c r="I87" s="12">
        <f>IF(OR(H87="",G87=""),"",ROUND(H87*G87,0))</f>
        <v/>
      </c>
    </row>
    <row r="88">
      <c r="B88" s="13" t="inlineStr"/>
      <c r="C88" s="13" t="inlineStr"/>
      <c r="D88" s="14" t="inlineStr"/>
      <c r="E88" s="14" t="inlineStr"/>
      <c r="F88" s="15" t="inlineStr"/>
      <c r="G88" s="15">
        <f>IF(F88&lt;&gt;"",F88,IF(D88="Studio",'Market Averages'!$C$7,IF(D88="1 BR",'Market Averages'!$C$8,IF(D88="2 BR",'Market Averages'!$C$9,IF(D88="3 BR",'Market Averages'!$C$10,IF(D88="4 BR",'Market Averages'!$C$11,IF(D88="5 BR",'Market Averages'!$C$12,"")))))))</f>
        <v/>
      </c>
      <c r="H88" s="14">
        <f>IF(OR(D88="",E88=""),"",IF(D88="Studio",1,IF(D88="1 BR",1,IF(D88="2 BR",2,IF(D88="3 BR",3,IF(D88="4 BR",4,IF(D88="5 BR",5,0))))))*E88)</f>
        <v/>
      </c>
      <c r="I88" s="16">
        <f>IF(OR(H88="",G88=""),"",ROUND(H88*G88,0))</f>
        <v/>
      </c>
    </row>
    <row r="89">
      <c r="B89" s="9" t="inlineStr"/>
      <c r="C89" s="9" t="inlineStr"/>
      <c r="D89" s="10" t="inlineStr"/>
      <c r="E89" s="10" t="inlineStr"/>
      <c r="F89" s="11" t="inlineStr"/>
      <c r="G89" s="11">
        <f>IF(F89&lt;&gt;"",F89,IF(D89="Studio",'Market Averages'!$C$7,IF(D89="1 BR",'Market Averages'!$C$8,IF(D89="2 BR",'Market Averages'!$C$9,IF(D89="3 BR",'Market Averages'!$C$10,IF(D89="4 BR",'Market Averages'!$C$11,IF(D89="5 BR",'Market Averages'!$C$12,"")))))))</f>
        <v/>
      </c>
      <c r="H89" s="10">
        <f>IF(OR(D89="",E89=""),"",IF(D89="Studio",1,IF(D89="1 BR",1,IF(D89="2 BR",2,IF(D89="3 BR",3,IF(D89="4 BR",4,IF(D89="5 BR",5,0))))))*E89)</f>
        <v/>
      </c>
      <c r="I89" s="12">
        <f>IF(OR(H89="",G89=""),"",ROUND(H89*G89,0))</f>
        <v/>
      </c>
    </row>
    <row r="90">
      <c r="B90" s="13" t="inlineStr"/>
      <c r="C90" s="13" t="inlineStr"/>
      <c r="D90" s="14" t="inlineStr"/>
      <c r="E90" s="14" t="inlineStr"/>
      <c r="F90" s="15" t="inlineStr"/>
      <c r="G90" s="15">
        <f>IF(F90&lt;&gt;"",F90,IF(D90="Studio",'Market Averages'!$C$7,IF(D90="1 BR",'Market Averages'!$C$8,IF(D90="2 BR",'Market Averages'!$C$9,IF(D90="3 BR",'Market Averages'!$C$10,IF(D90="4 BR",'Market Averages'!$C$11,IF(D90="5 BR",'Market Averages'!$C$12,"")))))))</f>
        <v/>
      </c>
      <c r="H90" s="14">
        <f>IF(OR(D90="",E90=""),"",IF(D90="Studio",1,IF(D90="1 BR",1,IF(D90="2 BR",2,IF(D90="3 BR",3,IF(D90="4 BR",4,IF(D90="5 BR",5,0))))))*E90)</f>
        <v/>
      </c>
      <c r="I90" s="16">
        <f>IF(OR(H90="",G90=""),"",ROUND(H90*G90,0))</f>
        <v/>
      </c>
    </row>
    <row r="91">
      <c r="B91" s="9" t="inlineStr"/>
      <c r="C91" s="9" t="inlineStr"/>
      <c r="D91" s="10" t="inlineStr"/>
      <c r="E91" s="10" t="inlineStr"/>
      <c r="F91" s="11" t="inlineStr"/>
      <c r="G91" s="11">
        <f>IF(F91&lt;&gt;"",F91,IF(D91="Studio",'Market Averages'!$C$7,IF(D91="1 BR",'Market Averages'!$C$8,IF(D91="2 BR",'Market Averages'!$C$9,IF(D91="3 BR",'Market Averages'!$C$10,IF(D91="4 BR",'Market Averages'!$C$11,IF(D91="5 BR",'Market Averages'!$C$12,"")))))))</f>
        <v/>
      </c>
      <c r="H91" s="10">
        <f>IF(OR(D91="",E91=""),"",IF(D91="Studio",1,IF(D91="1 BR",1,IF(D91="2 BR",2,IF(D91="3 BR",3,IF(D91="4 BR",4,IF(D91="5 BR",5,0))))))*E91)</f>
        <v/>
      </c>
      <c r="I91" s="12">
        <f>IF(OR(H91="",G91=""),"",ROUND(H91*G91,0))</f>
        <v/>
      </c>
    </row>
    <row r="92">
      <c r="B92" s="13" t="inlineStr"/>
      <c r="C92" s="13" t="inlineStr"/>
      <c r="D92" s="14" t="inlineStr"/>
      <c r="E92" s="14" t="inlineStr"/>
      <c r="F92" s="15" t="inlineStr"/>
      <c r="G92" s="15">
        <f>IF(F92&lt;&gt;"",F92,IF(D92="Studio",'Market Averages'!$C$7,IF(D92="1 BR",'Market Averages'!$C$8,IF(D92="2 BR",'Market Averages'!$C$9,IF(D92="3 BR",'Market Averages'!$C$10,IF(D92="4 BR",'Market Averages'!$C$11,IF(D92="5 BR",'Market Averages'!$C$12,"")))))))</f>
        <v/>
      </c>
      <c r="H92" s="14">
        <f>IF(OR(D92="",E92=""),"",IF(D92="Studio",1,IF(D92="1 BR",1,IF(D92="2 BR",2,IF(D92="3 BR",3,IF(D92="4 BR",4,IF(D92="5 BR",5,0))))))*E92)</f>
        <v/>
      </c>
      <c r="I92" s="16">
        <f>IF(OR(H92="",G92=""),"",ROUND(H92*G92,0))</f>
        <v/>
      </c>
    </row>
    <row r="93">
      <c r="B93" s="9" t="inlineStr"/>
      <c r="C93" s="9" t="inlineStr"/>
      <c r="D93" s="10" t="inlineStr"/>
      <c r="E93" s="10" t="inlineStr"/>
      <c r="F93" s="11" t="inlineStr"/>
      <c r="G93" s="11">
        <f>IF(F93&lt;&gt;"",F93,IF(D93="Studio",'Market Averages'!$C$7,IF(D93="1 BR",'Market Averages'!$C$8,IF(D93="2 BR",'Market Averages'!$C$9,IF(D93="3 BR",'Market Averages'!$C$10,IF(D93="4 BR",'Market Averages'!$C$11,IF(D93="5 BR",'Market Averages'!$C$12,"")))))))</f>
        <v/>
      </c>
      <c r="H93" s="10">
        <f>IF(OR(D93="",E93=""),"",IF(D93="Studio",1,IF(D93="1 BR",1,IF(D93="2 BR",2,IF(D93="3 BR",3,IF(D93="4 BR",4,IF(D93="5 BR",5,0))))))*E93)</f>
        <v/>
      </c>
      <c r="I93" s="12">
        <f>IF(OR(H93="",G93=""),"",ROUND(H93*G93,0))</f>
        <v/>
      </c>
    </row>
    <row r="94">
      <c r="B94" s="13" t="inlineStr"/>
      <c r="C94" s="13" t="inlineStr"/>
      <c r="D94" s="14" t="inlineStr"/>
      <c r="E94" s="14" t="inlineStr"/>
      <c r="F94" s="15" t="inlineStr"/>
      <c r="G94" s="15">
        <f>IF(F94&lt;&gt;"",F94,IF(D94="Studio",'Market Averages'!$C$7,IF(D94="1 BR",'Market Averages'!$C$8,IF(D94="2 BR",'Market Averages'!$C$9,IF(D94="3 BR",'Market Averages'!$C$10,IF(D94="4 BR",'Market Averages'!$C$11,IF(D94="5 BR",'Market Averages'!$C$12,"")))))))</f>
        <v/>
      </c>
      <c r="H94" s="14">
        <f>IF(OR(D94="",E94=""),"",IF(D94="Studio",1,IF(D94="1 BR",1,IF(D94="2 BR",2,IF(D94="3 BR",3,IF(D94="4 BR",4,IF(D94="5 BR",5,0))))))*E94)</f>
        <v/>
      </c>
      <c r="I94" s="16">
        <f>IF(OR(H94="",G94=""),"",ROUND(H94*G94,0))</f>
        <v/>
      </c>
    </row>
    <row r="95">
      <c r="B95" s="9" t="inlineStr"/>
      <c r="C95" s="9" t="inlineStr"/>
      <c r="D95" s="10" t="inlineStr"/>
      <c r="E95" s="10" t="inlineStr"/>
      <c r="F95" s="11" t="inlineStr"/>
      <c r="G95" s="11">
        <f>IF(F95&lt;&gt;"",F95,IF(D95="Studio",'Market Averages'!$C$7,IF(D95="1 BR",'Market Averages'!$C$8,IF(D95="2 BR",'Market Averages'!$C$9,IF(D95="3 BR",'Market Averages'!$C$10,IF(D95="4 BR",'Market Averages'!$C$11,IF(D95="5 BR",'Market Averages'!$C$12,"")))))))</f>
        <v/>
      </c>
      <c r="H95" s="10">
        <f>IF(OR(D95="",E95=""),"",IF(D95="Studio",1,IF(D95="1 BR",1,IF(D95="2 BR",2,IF(D95="3 BR",3,IF(D95="4 BR",4,IF(D95="5 BR",5,0))))))*E95)</f>
        <v/>
      </c>
      <c r="I95" s="12">
        <f>IF(OR(H95="",G95=""),"",ROUND(H95*G95,0))</f>
        <v/>
      </c>
    </row>
    <row r="96">
      <c r="B96" s="13" t="inlineStr"/>
      <c r="C96" s="13" t="inlineStr"/>
      <c r="D96" s="14" t="inlineStr"/>
      <c r="E96" s="14" t="inlineStr"/>
      <c r="F96" s="15" t="inlineStr"/>
      <c r="G96" s="15">
        <f>IF(F96&lt;&gt;"",F96,IF(D96="Studio",'Market Averages'!$C$7,IF(D96="1 BR",'Market Averages'!$C$8,IF(D96="2 BR",'Market Averages'!$C$9,IF(D96="3 BR",'Market Averages'!$C$10,IF(D96="4 BR",'Market Averages'!$C$11,IF(D96="5 BR",'Market Averages'!$C$12,"")))))))</f>
        <v/>
      </c>
      <c r="H96" s="14">
        <f>IF(OR(D96="",E96=""),"",IF(D96="Studio",1,IF(D96="1 BR",1,IF(D96="2 BR",2,IF(D96="3 BR",3,IF(D96="4 BR",4,IF(D96="5 BR",5,0))))))*E96)</f>
        <v/>
      </c>
      <c r="I96" s="16">
        <f>IF(OR(H96="",G96=""),"",ROUND(H96*G96,0))</f>
        <v/>
      </c>
    </row>
    <row r="97">
      <c r="B97" s="9" t="inlineStr"/>
      <c r="C97" s="9" t="inlineStr"/>
      <c r="D97" s="10" t="inlineStr"/>
      <c r="E97" s="10" t="inlineStr"/>
      <c r="F97" s="11" t="inlineStr"/>
      <c r="G97" s="11">
        <f>IF(F97&lt;&gt;"",F97,IF(D97="Studio",'Market Averages'!$C$7,IF(D97="1 BR",'Market Averages'!$C$8,IF(D97="2 BR",'Market Averages'!$C$9,IF(D97="3 BR",'Market Averages'!$C$10,IF(D97="4 BR",'Market Averages'!$C$11,IF(D97="5 BR",'Market Averages'!$C$12,"")))))))</f>
        <v/>
      </c>
      <c r="H97" s="10">
        <f>IF(OR(D97="",E97=""),"",IF(D97="Studio",1,IF(D97="1 BR",1,IF(D97="2 BR",2,IF(D97="3 BR",3,IF(D97="4 BR",4,IF(D97="5 BR",5,0))))))*E97)</f>
        <v/>
      </c>
      <c r="I97" s="12">
        <f>IF(OR(H97="",G97=""),"",ROUND(H97*G97,0))</f>
        <v/>
      </c>
    </row>
    <row r="98">
      <c r="B98" s="13" t="inlineStr"/>
      <c r="C98" s="13" t="inlineStr"/>
      <c r="D98" s="14" t="inlineStr"/>
      <c r="E98" s="14" t="inlineStr"/>
      <c r="F98" s="15" t="inlineStr"/>
      <c r="G98" s="15">
        <f>IF(F98&lt;&gt;"",F98,IF(D98="Studio",'Market Averages'!$C$7,IF(D98="1 BR",'Market Averages'!$C$8,IF(D98="2 BR",'Market Averages'!$C$9,IF(D98="3 BR",'Market Averages'!$C$10,IF(D98="4 BR",'Market Averages'!$C$11,IF(D98="5 BR",'Market Averages'!$C$12,"")))))))</f>
        <v/>
      </c>
      <c r="H98" s="14">
        <f>IF(OR(D98="",E98=""),"",IF(D98="Studio",1,IF(D98="1 BR",1,IF(D98="2 BR",2,IF(D98="3 BR",3,IF(D98="4 BR",4,IF(D98="5 BR",5,0))))))*E98)</f>
        <v/>
      </c>
      <c r="I98" s="16">
        <f>IF(OR(H98="",G98=""),"",ROUND(H98*G98,0))</f>
        <v/>
      </c>
    </row>
    <row r="99">
      <c r="B99" s="9" t="inlineStr"/>
      <c r="C99" s="9" t="inlineStr"/>
      <c r="D99" s="10" t="inlineStr"/>
      <c r="E99" s="10" t="inlineStr"/>
      <c r="F99" s="11" t="inlineStr"/>
      <c r="G99" s="11">
        <f>IF(F99&lt;&gt;"",F99,IF(D99="Studio",'Market Averages'!$C$7,IF(D99="1 BR",'Market Averages'!$C$8,IF(D99="2 BR",'Market Averages'!$C$9,IF(D99="3 BR",'Market Averages'!$C$10,IF(D99="4 BR",'Market Averages'!$C$11,IF(D99="5 BR",'Market Averages'!$C$12,"")))))))</f>
        <v/>
      </c>
      <c r="H99" s="10">
        <f>IF(OR(D99="",E99=""),"",IF(D99="Studio",1,IF(D99="1 BR",1,IF(D99="2 BR",2,IF(D99="3 BR",3,IF(D99="4 BR",4,IF(D99="5 BR",5,0))))))*E99)</f>
        <v/>
      </c>
      <c r="I99" s="12">
        <f>IF(OR(H99="",G99=""),"",ROUND(H99*G99,0))</f>
        <v/>
      </c>
    </row>
    <row r="100">
      <c r="B100" s="13" t="inlineStr"/>
      <c r="C100" s="13" t="inlineStr"/>
      <c r="D100" s="14" t="inlineStr"/>
      <c r="E100" s="14" t="inlineStr"/>
      <c r="F100" s="15" t="inlineStr"/>
      <c r="G100" s="15">
        <f>IF(F100&lt;&gt;"",F100,IF(D100="Studio",'Market Averages'!$C$7,IF(D100="1 BR",'Market Averages'!$C$8,IF(D100="2 BR",'Market Averages'!$C$9,IF(D100="3 BR",'Market Averages'!$C$10,IF(D100="4 BR",'Market Averages'!$C$11,IF(D100="5 BR",'Market Averages'!$C$12,"")))))))</f>
        <v/>
      </c>
      <c r="H100" s="14">
        <f>IF(OR(D100="",E100=""),"",IF(D100="Studio",1,IF(D100="1 BR",1,IF(D100="2 BR",2,IF(D100="3 BR",3,IF(D100="4 BR",4,IF(D100="5 BR",5,0))))))*E100)</f>
        <v/>
      </c>
      <c r="I100" s="16">
        <f>IF(OR(H100="",G100=""),"",ROUND(H100*G100,0))</f>
        <v/>
      </c>
    </row>
    <row r="101">
      <c r="B101" s="9" t="inlineStr"/>
      <c r="C101" s="9" t="inlineStr"/>
      <c r="D101" s="10" t="inlineStr"/>
      <c r="E101" s="10" t="inlineStr"/>
      <c r="F101" s="11" t="inlineStr"/>
      <c r="G101" s="11">
        <f>IF(F101&lt;&gt;"",F101,IF(D101="Studio",'Market Averages'!$C$7,IF(D101="1 BR",'Market Averages'!$C$8,IF(D101="2 BR",'Market Averages'!$C$9,IF(D101="3 BR",'Market Averages'!$C$10,IF(D101="4 BR",'Market Averages'!$C$11,IF(D101="5 BR",'Market Averages'!$C$12,"")))))))</f>
        <v/>
      </c>
      <c r="H101" s="10">
        <f>IF(OR(D101="",E101=""),"",IF(D101="Studio",1,IF(D101="1 BR",1,IF(D101="2 BR",2,IF(D101="3 BR",3,IF(D101="4 BR",4,IF(D101="5 BR",5,0))))))*E101)</f>
        <v/>
      </c>
      <c r="I101" s="12">
        <f>IF(OR(H101="",G101=""),"",ROUND(H101*G101,0))</f>
        <v/>
      </c>
    </row>
    <row r="102">
      <c r="B102" s="13" t="inlineStr"/>
      <c r="C102" s="13" t="inlineStr"/>
      <c r="D102" s="14" t="inlineStr"/>
      <c r="E102" s="14" t="inlineStr"/>
      <c r="F102" s="15" t="inlineStr"/>
      <c r="G102" s="15">
        <f>IF(F102&lt;&gt;"",F102,IF(D102="Studio",'Market Averages'!$C$7,IF(D102="1 BR",'Market Averages'!$C$8,IF(D102="2 BR",'Market Averages'!$C$9,IF(D102="3 BR",'Market Averages'!$C$10,IF(D102="4 BR",'Market Averages'!$C$11,IF(D102="5 BR",'Market Averages'!$C$12,"")))))))</f>
        <v/>
      </c>
      <c r="H102" s="14">
        <f>IF(OR(D102="",E102=""),"",IF(D102="Studio",1,IF(D102="1 BR",1,IF(D102="2 BR",2,IF(D102="3 BR",3,IF(D102="4 BR",4,IF(D102="5 BR",5,0))))))*E102)</f>
        <v/>
      </c>
      <c r="I102" s="16">
        <f>IF(OR(H102="",G102=""),"",ROUND(H102*G102,0))</f>
        <v/>
      </c>
    </row>
    <row r="103">
      <c r="B103" s="9" t="inlineStr"/>
      <c r="C103" s="9" t="inlineStr"/>
      <c r="D103" s="10" t="inlineStr"/>
      <c r="E103" s="10" t="inlineStr"/>
      <c r="F103" s="11" t="inlineStr"/>
      <c r="G103" s="11">
        <f>IF(F103&lt;&gt;"",F103,IF(D103="Studio",'Market Averages'!$C$7,IF(D103="1 BR",'Market Averages'!$C$8,IF(D103="2 BR",'Market Averages'!$C$9,IF(D103="3 BR",'Market Averages'!$C$10,IF(D103="4 BR",'Market Averages'!$C$11,IF(D103="5 BR",'Market Averages'!$C$12,"")))))))</f>
        <v/>
      </c>
      <c r="H103" s="10">
        <f>IF(OR(D103="",E103=""),"",IF(D103="Studio",1,IF(D103="1 BR",1,IF(D103="2 BR",2,IF(D103="3 BR",3,IF(D103="4 BR",4,IF(D103="5 BR",5,0))))))*E103)</f>
        <v/>
      </c>
      <c r="I103" s="12">
        <f>IF(OR(H103="",G103=""),"",ROUND(H103*G103,0))</f>
        <v/>
      </c>
    </row>
    <row r="104">
      <c r="B104" s="13" t="inlineStr"/>
      <c r="C104" s="13" t="inlineStr"/>
      <c r="D104" s="14" t="inlineStr"/>
      <c r="E104" s="14" t="inlineStr"/>
      <c r="F104" s="15" t="inlineStr"/>
      <c r="G104" s="15">
        <f>IF(F104&lt;&gt;"",F104,IF(D104="Studio",'Market Averages'!$C$7,IF(D104="1 BR",'Market Averages'!$C$8,IF(D104="2 BR",'Market Averages'!$C$9,IF(D104="3 BR",'Market Averages'!$C$10,IF(D104="4 BR",'Market Averages'!$C$11,IF(D104="5 BR",'Market Averages'!$C$12,"")))))))</f>
        <v/>
      </c>
      <c r="H104" s="14">
        <f>IF(OR(D104="",E104=""),"",IF(D104="Studio",1,IF(D104="1 BR",1,IF(D104="2 BR",2,IF(D104="3 BR",3,IF(D104="4 BR",4,IF(D104="5 BR",5,0))))))*E104)</f>
        <v/>
      </c>
      <c r="I104" s="16">
        <f>IF(OR(H104="",G104=""),"",ROUND(H104*G104,0))</f>
        <v/>
      </c>
    </row>
    <row r="105">
      <c r="B105" s="9" t="inlineStr"/>
      <c r="C105" s="9" t="inlineStr"/>
      <c r="D105" s="10" t="inlineStr"/>
      <c r="E105" s="10" t="inlineStr"/>
      <c r="F105" s="11" t="inlineStr"/>
      <c r="G105" s="11">
        <f>IF(F105&lt;&gt;"",F105,IF(D105="Studio",'Market Averages'!$C$7,IF(D105="1 BR",'Market Averages'!$C$8,IF(D105="2 BR",'Market Averages'!$C$9,IF(D105="3 BR",'Market Averages'!$C$10,IF(D105="4 BR",'Market Averages'!$C$11,IF(D105="5 BR",'Market Averages'!$C$12,"")))))))</f>
        <v/>
      </c>
      <c r="H105" s="10">
        <f>IF(OR(D105="",E105=""),"",IF(D105="Studio",1,IF(D105="1 BR",1,IF(D105="2 BR",2,IF(D105="3 BR",3,IF(D105="4 BR",4,IF(D105="5 BR",5,0))))))*E105)</f>
        <v/>
      </c>
      <c r="I105" s="12">
        <f>IF(OR(H105="",G105=""),"",ROUND(H105*G105,0))</f>
        <v/>
      </c>
    </row>
    <row r="106">
      <c r="B106" s="13" t="inlineStr"/>
      <c r="C106" s="13" t="inlineStr"/>
      <c r="D106" s="14" t="inlineStr"/>
      <c r="E106" s="14" t="inlineStr"/>
      <c r="F106" s="15" t="inlineStr"/>
      <c r="G106" s="15">
        <f>IF(F106&lt;&gt;"",F106,IF(D106="Studio",'Market Averages'!$C$7,IF(D106="1 BR",'Market Averages'!$C$8,IF(D106="2 BR",'Market Averages'!$C$9,IF(D106="3 BR",'Market Averages'!$C$10,IF(D106="4 BR",'Market Averages'!$C$11,IF(D106="5 BR",'Market Averages'!$C$12,"")))))))</f>
        <v/>
      </c>
      <c r="H106" s="14">
        <f>IF(OR(D106="",E106=""),"",IF(D106="Studio",1,IF(D106="1 BR",1,IF(D106="2 BR",2,IF(D106="3 BR",3,IF(D106="4 BR",4,IF(D106="5 BR",5,0))))))*E106)</f>
        <v/>
      </c>
      <c r="I106" s="16">
        <f>IF(OR(H106="",G106=""),"",ROUND(H106*G106,0))</f>
        <v/>
      </c>
    </row>
  </sheetData>
  <mergeCells count="2">
    <mergeCell ref="B2:G2"/>
    <mergeCell ref="B4:G4"/>
  </mergeCells>
  <conditionalFormatting sqref="B7:I106">
    <cfRule type="expression" priority="1" dxfId="0">
      <formula>AND($F7="",$D7&lt;&gt;"")</formula>
    </cfRule>
  </conditionalFormatting>
  <dataValidations count="1">
    <dataValidation sqref="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showDropDown="0" showInputMessage="0" showErrorMessage="0" allowBlank="1" errorTitle="Invalid Entry" error="Please select a valid bedroom type" promptTitle="Bedrooms" prompt="Select bedroom type" type="list">
      <formula1>"Studio,1 BR,2 BR,3 BR,4 BR,5 BR"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G112"/>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 customWidth="1" min="1" max="1"/>
    <col width="25" customWidth="1" min="2" max="2"/>
    <col width="18" customWidth="1" min="3" max="3"/>
    <col width="12" customWidth="1" min="4" max="4"/>
    <col width="12" customWidth="1" min="5" max="5"/>
    <col width="12" customWidth="1" min="6" max="6"/>
    <col width="12" customWidth="1" min="7" max="7"/>
  </cols>
  <sheetData>
    <row r="2">
      <c r="B2" s="1" t="inlineStr">
        <is>
          <t>Leased Beds Summary Report</t>
        </is>
      </c>
    </row>
    <row r="3">
      <c r="B3" s="17">
        <f>TODAY()</f>
        <v/>
      </c>
    </row>
    <row r="5">
      <c r="B5" s="2" t="inlineStr">
        <is>
          <t>This report auto-updates from Property Data. Copy this table for your reports.</t>
        </is>
      </c>
    </row>
    <row r="7">
      <c r="B7" s="3" t="inlineStr">
        <is>
          <t>Property Name</t>
        </is>
      </c>
      <c r="C7" s="3" t="inlineStr">
        <is>
          <t>Floorplan</t>
        </is>
      </c>
      <c r="D7" s="3" t="inlineStr">
        <is>
          <t>Beds/Unit</t>
        </is>
      </c>
      <c r="E7" s="3" t="inlineStr">
        <is>
          <t>Total Beds</t>
        </is>
      </c>
      <c r="F7" s="3" t="inlineStr">
        <is>
          <t>Prelease %</t>
        </is>
      </c>
      <c r="G7" s="3" t="inlineStr">
        <is>
          <t>Leased Beds</t>
        </is>
      </c>
    </row>
    <row r="8">
      <c r="B8" s="9">
        <f>IF('Property Data'!B7="","",'Property Data'!B7)</f>
        <v/>
      </c>
      <c r="C8" s="9">
        <f>IF('Property Data'!C7="","",'Property Data'!C7)</f>
        <v/>
      </c>
      <c r="D8" s="10">
        <f>IF('Property Data'!D7="","",IF('Property Data'!D7="Studio",1,IF('Property Data'!D7="1 BR",1,IF('Property Data'!D7="2 BR",2,IF('Property Data'!D7="3 BR",3,IF('Property Data'!D7="4 BR",4,IF('Property Data'!D7="5 BR",5,"")))))))</f>
        <v/>
      </c>
      <c r="E8" s="10">
        <f>IF('Property Data'!H7="","",'Property Data'!H7)</f>
        <v/>
      </c>
      <c r="F8" s="11">
        <f>IF('Property Data'!G7="","",'Property Data'!G7)</f>
        <v/>
      </c>
      <c r="G8" s="12">
        <f>IF('Property Data'!I7="","",'Property Data'!I7)</f>
        <v/>
      </c>
    </row>
    <row r="9">
      <c r="B9" s="13">
        <f>IF('Property Data'!B8="","",'Property Data'!B8)</f>
        <v/>
      </c>
      <c r="C9" s="13">
        <f>IF('Property Data'!C8="","",'Property Data'!C8)</f>
        <v/>
      </c>
      <c r="D9" s="14">
        <f>IF('Property Data'!D8="","",IF('Property Data'!D8="Studio",1,IF('Property Data'!D8="1 BR",1,IF('Property Data'!D8="2 BR",2,IF('Property Data'!D8="3 BR",3,IF('Property Data'!D8="4 BR",4,IF('Property Data'!D8="5 BR",5,"")))))))</f>
        <v/>
      </c>
      <c r="E9" s="14">
        <f>IF('Property Data'!H8="","",'Property Data'!H8)</f>
        <v/>
      </c>
      <c r="F9" s="15">
        <f>IF('Property Data'!G8="","",'Property Data'!G8)</f>
        <v/>
      </c>
      <c r="G9" s="16">
        <f>IF('Property Data'!I8="","",'Property Data'!I8)</f>
        <v/>
      </c>
    </row>
    <row r="10">
      <c r="B10" s="9">
        <f>IF('Property Data'!B9="","",'Property Data'!B9)</f>
        <v/>
      </c>
      <c r="C10" s="9">
        <f>IF('Property Data'!C9="","",'Property Data'!C9)</f>
        <v/>
      </c>
      <c r="D10" s="10">
        <f>IF('Property Data'!D9="","",IF('Property Data'!D9="Studio",1,IF('Property Data'!D9="1 BR",1,IF('Property Data'!D9="2 BR",2,IF('Property Data'!D9="3 BR",3,IF('Property Data'!D9="4 BR",4,IF('Property Data'!D9="5 BR",5,"")))))))</f>
        <v/>
      </c>
      <c r="E10" s="10">
        <f>IF('Property Data'!H9="","",'Property Data'!H9)</f>
        <v/>
      </c>
      <c r="F10" s="11">
        <f>IF('Property Data'!G9="","",'Property Data'!G9)</f>
        <v/>
      </c>
      <c r="G10" s="12">
        <f>IF('Property Data'!I9="","",'Property Data'!I9)</f>
        <v/>
      </c>
    </row>
    <row r="11">
      <c r="B11" s="13">
        <f>IF('Property Data'!B10="","",'Property Data'!B10)</f>
        <v/>
      </c>
      <c r="C11" s="13">
        <f>IF('Property Data'!C10="","",'Property Data'!C10)</f>
        <v/>
      </c>
      <c r="D11" s="14">
        <f>IF('Property Data'!D10="","",IF('Property Data'!D10="Studio",1,IF('Property Data'!D10="1 BR",1,IF('Property Data'!D10="2 BR",2,IF('Property Data'!D10="3 BR",3,IF('Property Data'!D10="4 BR",4,IF('Property Data'!D10="5 BR",5,"")))))))</f>
        <v/>
      </c>
      <c r="E11" s="14">
        <f>IF('Property Data'!H10="","",'Property Data'!H10)</f>
        <v/>
      </c>
      <c r="F11" s="15">
        <f>IF('Property Data'!G10="","",'Property Data'!G10)</f>
        <v/>
      </c>
      <c r="G11" s="16">
        <f>IF('Property Data'!I10="","",'Property Data'!I10)</f>
        <v/>
      </c>
    </row>
    <row r="12">
      <c r="B12" s="9">
        <f>IF('Property Data'!B11="","",'Property Data'!B11)</f>
        <v/>
      </c>
      <c r="C12" s="9">
        <f>IF('Property Data'!C11="","",'Property Data'!C11)</f>
        <v/>
      </c>
      <c r="D12" s="10">
        <f>IF('Property Data'!D11="","",IF('Property Data'!D11="Studio",1,IF('Property Data'!D11="1 BR",1,IF('Property Data'!D11="2 BR",2,IF('Property Data'!D11="3 BR",3,IF('Property Data'!D11="4 BR",4,IF('Property Data'!D11="5 BR",5,"")))))))</f>
        <v/>
      </c>
      <c r="E12" s="10">
        <f>IF('Property Data'!H11="","",'Property Data'!H11)</f>
        <v/>
      </c>
      <c r="F12" s="11">
        <f>IF('Property Data'!G11="","",'Property Data'!G11)</f>
        <v/>
      </c>
      <c r="G12" s="12">
        <f>IF('Property Data'!I11="","",'Property Data'!I11)</f>
        <v/>
      </c>
    </row>
    <row r="13">
      <c r="B13" s="13">
        <f>IF('Property Data'!B12="","",'Property Data'!B12)</f>
        <v/>
      </c>
      <c r="C13" s="13">
        <f>IF('Property Data'!C12="","",'Property Data'!C12)</f>
        <v/>
      </c>
      <c r="D13" s="14">
        <f>IF('Property Data'!D12="","",IF('Property Data'!D12="Studio",1,IF('Property Data'!D12="1 BR",1,IF('Property Data'!D12="2 BR",2,IF('Property Data'!D12="3 BR",3,IF('Property Data'!D12="4 BR",4,IF('Property Data'!D12="5 BR",5,"")))))))</f>
        <v/>
      </c>
      <c r="E13" s="14">
        <f>IF('Property Data'!H12="","",'Property Data'!H12)</f>
        <v/>
      </c>
      <c r="F13" s="15">
        <f>IF('Property Data'!G12="","",'Property Data'!G12)</f>
        <v/>
      </c>
      <c r="G13" s="16">
        <f>IF('Property Data'!I12="","",'Property Data'!I12)</f>
        <v/>
      </c>
    </row>
    <row r="14">
      <c r="B14" s="9">
        <f>IF('Property Data'!B13="","",'Property Data'!B13)</f>
        <v/>
      </c>
      <c r="C14" s="9">
        <f>IF('Property Data'!C13="","",'Property Data'!C13)</f>
        <v/>
      </c>
      <c r="D14" s="10">
        <f>IF('Property Data'!D13="","",IF('Property Data'!D13="Studio",1,IF('Property Data'!D13="1 BR",1,IF('Property Data'!D13="2 BR",2,IF('Property Data'!D13="3 BR",3,IF('Property Data'!D13="4 BR",4,IF('Property Data'!D13="5 BR",5,"")))))))</f>
        <v/>
      </c>
      <c r="E14" s="10">
        <f>IF('Property Data'!H13="","",'Property Data'!H13)</f>
        <v/>
      </c>
      <c r="F14" s="11">
        <f>IF('Property Data'!G13="","",'Property Data'!G13)</f>
        <v/>
      </c>
      <c r="G14" s="12">
        <f>IF('Property Data'!I13="","",'Property Data'!I13)</f>
        <v/>
      </c>
    </row>
    <row r="15">
      <c r="B15" s="13">
        <f>IF('Property Data'!B14="","",'Property Data'!B14)</f>
        <v/>
      </c>
      <c r="C15" s="13">
        <f>IF('Property Data'!C14="","",'Property Data'!C14)</f>
        <v/>
      </c>
      <c r="D15" s="14">
        <f>IF('Property Data'!D14="","",IF('Property Data'!D14="Studio",1,IF('Property Data'!D14="1 BR",1,IF('Property Data'!D14="2 BR",2,IF('Property Data'!D14="3 BR",3,IF('Property Data'!D14="4 BR",4,IF('Property Data'!D14="5 BR",5,"")))))))</f>
        <v/>
      </c>
      <c r="E15" s="14">
        <f>IF('Property Data'!H14="","",'Property Data'!H14)</f>
        <v/>
      </c>
      <c r="F15" s="15">
        <f>IF('Property Data'!G14="","",'Property Data'!G14)</f>
        <v/>
      </c>
      <c r="G15" s="16">
        <f>IF('Property Data'!I14="","",'Property Data'!I14)</f>
        <v/>
      </c>
    </row>
    <row r="16">
      <c r="B16" s="9">
        <f>IF('Property Data'!B15="","",'Property Data'!B15)</f>
        <v/>
      </c>
      <c r="C16" s="9">
        <f>IF('Property Data'!C15="","",'Property Data'!C15)</f>
        <v/>
      </c>
      <c r="D16" s="10">
        <f>IF('Property Data'!D15="","",IF('Property Data'!D15="Studio",1,IF('Property Data'!D15="1 BR",1,IF('Property Data'!D15="2 BR",2,IF('Property Data'!D15="3 BR",3,IF('Property Data'!D15="4 BR",4,IF('Property Data'!D15="5 BR",5,"")))))))</f>
        <v/>
      </c>
      <c r="E16" s="10">
        <f>IF('Property Data'!H15="","",'Property Data'!H15)</f>
        <v/>
      </c>
      <c r="F16" s="11">
        <f>IF('Property Data'!G15="","",'Property Data'!G15)</f>
        <v/>
      </c>
      <c r="G16" s="12">
        <f>IF('Property Data'!I15="","",'Property Data'!I15)</f>
        <v/>
      </c>
    </row>
    <row r="17">
      <c r="B17" s="13">
        <f>IF('Property Data'!B16="","",'Property Data'!B16)</f>
        <v/>
      </c>
      <c r="C17" s="13">
        <f>IF('Property Data'!C16="","",'Property Data'!C16)</f>
        <v/>
      </c>
      <c r="D17" s="14">
        <f>IF('Property Data'!D16="","",IF('Property Data'!D16="Studio",1,IF('Property Data'!D16="1 BR",1,IF('Property Data'!D16="2 BR",2,IF('Property Data'!D16="3 BR",3,IF('Property Data'!D16="4 BR",4,IF('Property Data'!D16="5 BR",5,"")))))))</f>
        <v/>
      </c>
      <c r="E17" s="14">
        <f>IF('Property Data'!H16="","",'Property Data'!H16)</f>
        <v/>
      </c>
      <c r="F17" s="15">
        <f>IF('Property Data'!G16="","",'Property Data'!G16)</f>
        <v/>
      </c>
      <c r="G17" s="16">
        <f>IF('Property Data'!I16="","",'Property Data'!I16)</f>
        <v/>
      </c>
    </row>
    <row r="18">
      <c r="B18" s="9">
        <f>IF('Property Data'!B17="","",'Property Data'!B17)</f>
        <v/>
      </c>
      <c r="C18" s="9">
        <f>IF('Property Data'!C17="","",'Property Data'!C17)</f>
        <v/>
      </c>
      <c r="D18" s="10">
        <f>IF('Property Data'!D17="","",IF('Property Data'!D17="Studio",1,IF('Property Data'!D17="1 BR",1,IF('Property Data'!D17="2 BR",2,IF('Property Data'!D17="3 BR",3,IF('Property Data'!D17="4 BR",4,IF('Property Data'!D17="5 BR",5,"")))))))</f>
        <v/>
      </c>
      <c r="E18" s="10">
        <f>IF('Property Data'!H17="","",'Property Data'!H17)</f>
        <v/>
      </c>
      <c r="F18" s="11">
        <f>IF('Property Data'!G17="","",'Property Data'!G17)</f>
        <v/>
      </c>
      <c r="G18" s="12">
        <f>IF('Property Data'!I17="","",'Property Data'!I17)</f>
        <v/>
      </c>
    </row>
    <row r="19">
      <c r="B19" s="13">
        <f>IF('Property Data'!B18="","",'Property Data'!B18)</f>
        <v/>
      </c>
      <c r="C19" s="13">
        <f>IF('Property Data'!C18="","",'Property Data'!C18)</f>
        <v/>
      </c>
      <c r="D19" s="14">
        <f>IF('Property Data'!D18="","",IF('Property Data'!D18="Studio",1,IF('Property Data'!D18="1 BR",1,IF('Property Data'!D18="2 BR",2,IF('Property Data'!D18="3 BR",3,IF('Property Data'!D18="4 BR",4,IF('Property Data'!D18="5 BR",5,"")))))))</f>
        <v/>
      </c>
      <c r="E19" s="14">
        <f>IF('Property Data'!H18="","",'Property Data'!H18)</f>
        <v/>
      </c>
      <c r="F19" s="15">
        <f>IF('Property Data'!G18="","",'Property Data'!G18)</f>
        <v/>
      </c>
      <c r="G19" s="16">
        <f>IF('Property Data'!I18="","",'Property Data'!I18)</f>
        <v/>
      </c>
    </row>
    <row r="20">
      <c r="B20" s="9">
        <f>IF('Property Data'!B19="","",'Property Data'!B19)</f>
        <v/>
      </c>
      <c r="C20" s="9">
        <f>IF('Property Data'!C19="","",'Property Data'!C19)</f>
        <v/>
      </c>
      <c r="D20" s="10">
        <f>IF('Property Data'!D19="","",IF('Property Data'!D19="Studio",1,IF('Property Data'!D19="1 BR",1,IF('Property Data'!D19="2 BR",2,IF('Property Data'!D19="3 BR",3,IF('Property Data'!D19="4 BR",4,IF('Property Data'!D19="5 BR",5,"")))))))</f>
        <v/>
      </c>
      <c r="E20" s="10">
        <f>IF('Property Data'!H19="","",'Property Data'!H19)</f>
        <v/>
      </c>
      <c r="F20" s="11">
        <f>IF('Property Data'!G19="","",'Property Data'!G19)</f>
        <v/>
      </c>
      <c r="G20" s="12">
        <f>IF('Property Data'!I19="","",'Property Data'!I19)</f>
        <v/>
      </c>
    </row>
    <row r="21">
      <c r="B21" s="13">
        <f>IF('Property Data'!B20="","",'Property Data'!B20)</f>
        <v/>
      </c>
      <c r="C21" s="13">
        <f>IF('Property Data'!C20="","",'Property Data'!C20)</f>
        <v/>
      </c>
      <c r="D21" s="14">
        <f>IF('Property Data'!D20="","",IF('Property Data'!D20="Studio",1,IF('Property Data'!D20="1 BR",1,IF('Property Data'!D20="2 BR",2,IF('Property Data'!D20="3 BR",3,IF('Property Data'!D20="4 BR",4,IF('Property Data'!D20="5 BR",5,"")))))))</f>
        <v/>
      </c>
      <c r="E21" s="14">
        <f>IF('Property Data'!H20="","",'Property Data'!H20)</f>
        <v/>
      </c>
      <c r="F21" s="15">
        <f>IF('Property Data'!G20="","",'Property Data'!G20)</f>
        <v/>
      </c>
      <c r="G21" s="16">
        <f>IF('Property Data'!I20="","",'Property Data'!I20)</f>
        <v/>
      </c>
    </row>
    <row r="22">
      <c r="B22" s="9">
        <f>IF('Property Data'!B21="","",'Property Data'!B21)</f>
        <v/>
      </c>
      <c r="C22" s="9">
        <f>IF('Property Data'!C21="","",'Property Data'!C21)</f>
        <v/>
      </c>
      <c r="D22" s="10">
        <f>IF('Property Data'!D21="","",IF('Property Data'!D21="Studio",1,IF('Property Data'!D21="1 BR",1,IF('Property Data'!D21="2 BR",2,IF('Property Data'!D21="3 BR",3,IF('Property Data'!D21="4 BR",4,IF('Property Data'!D21="5 BR",5,"")))))))</f>
        <v/>
      </c>
      <c r="E22" s="10">
        <f>IF('Property Data'!H21="","",'Property Data'!H21)</f>
        <v/>
      </c>
      <c r="F22" s="11">
        <f>IF('Property Data'!G21="","",'Property Data'!G21)</f>
        <v/>
      </c>
      <c r="G22" s="12">
        <f>IF('Property Data'!I21="","",'Property Data'!I21)</f>
        <v/>
      </c>
    </row>
    <row r="23">
      <c r="B23" s="13">
        <f>IF('Property Data'!B22="","",'Property Data'!B22)</f>
        <v/>
      </c>
      <c r="C23" s="13">
        <f>IF('Property Data'!C22="","",'Property Data'!C22)</f>
        <v/>
      </c>
      <c r="D23" s="14">
        <f>IF('Property Data'!D22="","",IF('Property Data'!D22="Studio",1,IF('Property Data'!D22="1 BR",1,IF('Property Data'!D22="2 BR",2,IF('Property Data'!D22="3 BR",3,IF('Property Data'!D22="4 BR",4,IF('Property Data'!D22="5 BR",5,"")))))))</f>
        <v/>
      </c>
      <c r="E23" s="14">
        <f>IF('Property Data'!H22="","",'Property Data'!H22)</f>
        <v/>
      </c>
      <c r="F23" s="15">
        <f>IF('Property Data'!G22="","",'Property Data'!G22)</f>
        <v/>
      </c>
      <c r="G23" s="16">
        <f>IF('Property Data'!I22="","",'Property Data'!I22)</f>
        <v/>
      </c>
    </row>
    <row r="24">
      <c r="B24" s="9">
        <f>IF('Property Data'!B23="","",'Property Data'!B23)</f>
        <v/>
      </c>
      <c r="C24" s="9">
        <f>IF('Property Data'!C23="","",'Property Data'!C23)</f>
        <v/>
      </c>
      <c r="D24" s="10">
        <f>IF('Property Data'!D23="","",IF('Property Data'!D23="Studio",1,IF('Property Data'!D23="1 BR",1,IF('Property Data'!D23="2 BR",2,IF('Property Data'!D23="3 BR",3,IF('Property Data'!D23="4 BR",4,IF('Property Data'!D23="5 BR",5,"")))))))</f>
        <v/>
      </c>
      <c r="E24" s="10">
        <f>IF('Property Data'!H23="","",'Property Data'!H23)</f>
        <v/>
      </c>
      <c r="F24" s="11">
        <f>IF('Property Data'!G23="","",'Property Data'!G23)</f>
        <v/>
      </c>
      <c r="G24" s="12">
        <f>IF('Property Data'!I23="","",'Property Data'!I23)</f>
        <v/>
      </c>
    </row>
    <row r="25">
      <c r="B25" s="13">
        <f>IF('Property Data'!B24="","",'Property Data'!B24)</f>
        <v/>
      </c>
      <c r="C25" s="13">
        <f>IF('Property Data'!C24="","",'Property Data'!C24)</f>
        <v/>
      </c>
      <c r="D25" s="14">
        <f>IF('Property Data'!D24="","",IF('Property Data'!D24="Studio",1,IF('Property Data'!D24="1 BR",1,IF('Property Data'!D24="2 BR",2,IF('Property Data'!D24="3 BR",3,IF('Property Data'!D24="4 BR",4,IF('Property Data'!D24="5 BR",5,"")))))))</f>
        <v/>
      </c>
      <c r="E25" s="14">
        <f>IF('Property Data'!H24="","",'Property Data'!H24)</f>
        <v/>
      </c>
      <c r="F25" s="15">
        <f>IF('Property Data'!G24="","",'Property Data'!G24)</f>
        <v/>
      </c>
      <c r="G25" s="16">
        <f>IF('Property Data'!I24="","",'Property Data'!I24)</f>
        <v/>
      </c>
    </row>
    <row r="26">
      <c r="B26" s="9">
        <f>IF('Property Data'!B25="","",'Property Data'!B25)</f>
        <v/>
      </c>
      <c r="C26" s="9">
        <f>IF('Property Data'!C25="","",'Property Data'!C25)</f>
        <v/>
      </c>
      <c r="D26" s="10">
        <f>IF('Property Data'!D25="","",IF('Property Data'!D25="Studio",1,IF('Property Data'!D25="1 BR",1,IF('Property Data'!D25="2 BR",2,IF('Property Data'!D25="3 BR",3,IF('Property Data'!D25="4 BR",4,IF('Property Data'!D25="5 BR",5,"")))))))</f>
        <v/>
      </c>
      <c r="E26" s="10">
        <f>IF('Property Data'!H25="","",'Property Data'!H25)</f>
        <v/>
      </c>
      <c r="F26" s="11">
        <f>IF('Property Data'!G25="","",'Property Data'!G25)</f>
        <v/>
      </c>
      <c r="G26" s="12">
        <f>IF('Property Data'!I25="","",'Property Data'!I25)</f>
        <v/>
      </c>
    </row>
    <row r="27">
      <c r="B27" s="13">
        <f>IF('Property Data'!B26="","",'Property Data'!B26)</f>
        <v/>
      </c>
      <c r="C27" s="13">
        <f>IF('Property Data'!C26="","",'Property Data'!C26)</f>
        <v/>
      </c>
      <c r="D27" s="14">
        <f>IF('Property Data'!D26="","",IF('Property Data'!D26="Studio",1,IF('Property Data'!D26="1 BR",1,IF('Property Data'!D26="2 BR",2,IF('Property Data'!D26="3 BR",3,IF('Property Data'!D26="4 BR",4,IF('Property Data'!D26="5 BR",5,"")))))))</f>
        <v/>
      </c>
      <c r="E27" s="14">
        <f>IF('Property Data'!H26="","",'Property Data'!H26)</f>
        <v/>
      </c>
      <c r="F27" s="15">
        <f>IF('Property Data'!G26="","",'Property Data'!G26)</f>
        <v/>
      </c>
      <c r="G27" s="16">
        <f>IF('Property Data'!I26="","",'Property Data'!I26)</f>
        <v/>
      </c>
    </row>
    <row r="28">
      <c r="B28" s="9">
        <f>IF('Property Data'!B27="","",'Property Data'!B27)</f>
        <v/>
      </c>
      <c r="C28" s="9">
        <f>IF('Property Data'!C27="","",'Property Data'!C27)</f>
        <v/>
      </c>
      <c r="D28" s="10">
        <f>IF('Property Data'!D27="","",IF('Property Data'!D27="Studio",1,IF('Property Data'!D27="1 BR",1,IF('Property Data'!D27="2 BR",2,IF('Property Data'!D27="3 BR",3,IF('Property Data'!D27="4 BR",4,IF('Property Data'!D27="5 BR",5,"")))))))</f>
        <v/>
      </c>
      <c r="E28" s="10">
        <f>IF('Property Data'!H27="","",'Property Data'!H27)</f>
        <v/>
      </c>
      <c r="F28" s="11">
        <f>IF('Property Data'!G27="","",'Property Data'!G27)</f>
        <v/>
      </c>
      <c r="G28" s="12">
        <f>IF('Property Data'!I27="","",'Property Data'!I27)</f>
        <v/>
      </c>
    </row>
    <row r="29">
      <c r="B29" s="13">
        <f>IF('Property Data'!B28="","",'Property Data'!B28)</f>
        <v/>
      </c>
      <c r="C29" s="13">
        <f>IF('Property Data'!C28="","",'Property Data'!C28)</f>
        <v/>
      </c>
      <c r="D29" s="14">
        <f>IF('Property Data'!D28="","",IF('Property Data'!D28="Studio",1,IF('Property Data'!D28="1 BR",1,IF('Property Data'!D28="2 BR",2,IF('Property Data'!D28="3 BR",3,IF('Property Data'!D28="4 BR",4,IF('Property Data'!D28="5 BR",5,"")))))))</f>
        <v/>
      </c>
      <c r="E29" s="14">
        <f>IF('Property Data'!H28="","",'Property Data'!H28)</f>
        <v/>
      </c>
      <c r="F29" s="15">
        <f>IF('Property Data'!G28="","",'Property Data'!G28)</f>
        <v/>
      </c>
      <c r="G29" s="16">
        <f>IF('Property Data'!I28="","",'Property Data'!I28)</f>
        <v/>
      </c>
    </row>
    <row r="30">
      <c r="B30" s="9">
        <f>IF('Property Data'!B29="","",'Property Data'!B29)</f>
        <v/>
      </c>
      <c r="C30" s="9">
        <f>IF('Property Data'!C29="","",'Property Data'!C29)</f>
        <v/>
      </c>
      <c r="D30" s="10">
        <f>IF('Property Data'!D29="","",IF('Property Data'!D29="Studio",1,IF('Property Data'!D29="1 BR",1,IF('Property Data'!D29="2 BR",2,IF('Property Data'!D29="3 BR",3,IF('Property Data'!D29="4 BR",4,IF('Property Data'!D29="5 BR",5,"")))))))</f>
        <v/>
      </c>
      <c r="E30" s="10">
        <f>IF('Property Data'!H29="","",'Property Data'!H29)</f>
        <v/>
      </c>
      <c r="F30" s="11">
        <f>IF('Property Data'!G29="","",'Property Data'!G29)</f>
        <v/>
      </c>
      <c r="G30" s="12">
        <f>IF('Property Data'!I29="","",'Property Data'!I29)</f>
        <v/>
      </c>
    </row>
    <row r="31">
      <c r="B31" s="13">
        <f>IF('Property Data'!B30="","",'Property Data'!B30)</f>
        <v/>
      </c>
      <c r="C31" s="13">
        <f>IF('Property Data'!C30="","",'Property Data'!C30)</f>
        <v/>
      </c>
      <c r="D31" s="14">
        <f>IF('Property Data'!D30="","",IF('Property Data'!D30="Studio",1,IF('Property Data'!D30="1 BR",1,IF('Property Data'!D30="2 BR",2,IF('Property Data'!D30="3 BR",3,IF('Property Data'!D30="4 BR",4,IF('Property Data'!D30="5 BR",5,"")))))))</f>
        <v/>
      </c>
      <c r="E31" s="14">
        <f>IF('Property Data'!H30="","",'Property Data'!H30)</f>
        <v/>
      </c>
      <c r="F31" s="15">
        <f>IF('Property Data'!G30="","",'Property Data'!G30)</f>
        <v/>
      </c>
      <c r="G31" s="16">
        <f>IF('Property Data'!I30="","",'Property Data'!I30)</f>
        <v/>
      </c>
    </row>
    <row r="32">
      <c r="B32" s="9">
        <f>IF('Property Data'!B31="","",'Property Data'!B31)</f>
        <v/>
      </c>
      <c r="C32" s="9">
        <f>IF('Property Data'!C31="","",'Property Data'!C31)</f>
        <v/>
      </c>
      <c r="D32" s="10">
        <f>IF('Property Data'!D31="","",IF('Property Data'!D31="Studio",1,IF('Property Data'!D31="1 BR",1,IF('Property Data'!D31="2 BR",2,IF('Property Data'!D31="3 BR",3,IF('Property Data'!D31="4 BR",4,IF('Property Data'!D31="5 BR",5,"")))))))</f>
        <v/>
      </c>
      <c r="E32" s="10">
        <f>IF('Property Data'!H31="","",'Property Data'!H31)</f>
        <v/>
      </c>
      <c r="F32" s="11">
        <f>IF('Property Data'!G31="","",'Property Data'!G31)</f>
        <v/>
      </c>
      <c r="G32" s="12">
        <f>IF('Property Data'!I31="","",'Property Data'!I31)</f>
        <v/>
      </c>
    </row>
    <row r="33">
      <c r="B33" s="13">
        <f>IF('Property Data'!B32="","",'Property Data'!B32)</f>
        <v/>
      </c>
      <c r="C33" s="13">
        <f>IF('Property Data'!C32="","",'Property Data'!C32)</f>
        <v/>
      </c>
      <c r="D33" s="14">
        <f>IF('Property Data'!D32="","",IF('Property Data'!D32="Studio",1,IF('Property Data'!D32="1 BR",1,IF('Property Data'!D32="2 BR",2,IF('Property Data'!D32="3 BR",3,IF('Property Data'!D32="4 BR",4,IF('Property Data'!D32="5 BR",5,"")))))))</f>
        <v/>
      </c>
      <c r="E33" s="14">
        <f>IF('Property Data'!H32="","",'Property Data'!H32)</f>
        <v/>
      </c>
      <c r="F33" s="15">
        <f>IF('Property Data'!G32="","",'Property Data'!G32)</f>
        <v/>
      </c>
      <c r="G33" s="16">
        <f>IF('Property Data'!I32="","",'Property Data'!I32)</f>
        <v/>
      </c>
    </row>
    <row r="34">
      <c r="B34" s="9">
        <f>IF('Property Data'!B33="","",'Property Data'!B33)</f>
        <v/>
      </c>
      <c r="C34" s="9">
        <f>IF('Property Data'!C33="","",'Property Data'!C33)</f>
        <v/>
      </c>
      <c r="D34" s="10">
        <f>IF('Property Data'!D33="","",IF('Property Data'!D33="Studio",1,IF('Property Data'!D33="1 BR",1,IF('Property Data'!D33="2 BR",2,IF('Property Data'!D33="3 BR",3,IF('Property Data'!D33="4 BR",4,IF('Property Data'!D33="5 BR",5,"")))))))</f>
        <v/>
      </c>
      <c r="E34" s="10">
        <f>IF('Property Data'!H33="","",'Property Data'!H33)</f>
        <v/>
      </c>
      <c r="F34" s="11">
        <f>IF('Property Data'!G33="","",'Property Data'!G33)</f>
        <v/>
      </c>
      <c r="G34" s="12">
        <f>IF('Property Data'!I33="","",'Property Data'!I33)</f>
        <v/>
      </c>
    </row>
    <row r="35">
      <c r="B35" s="13">
        <f>IF('Property Data'!B34="","",'Property Data'!B34)</f>
        <v/>
      </c>
      <c r="C35" s="13">
        <f>IF('Property Data'!C34="","",'Property Data'!C34)</f>
        <v/>
      </c>
      <c r="D35" s="14">
        <f>IF('Property Data'!D34="","",IF('Property Data'!D34="Studio",1,IF('Property Data'!D34="1 BR",1,IF('Property Data'!D34="2 BR",2,IF('Property Data'!D34="3 BR",3,IF('Property Data'!D34="4 BR",4,IF('Property Data'!D34="5 BR",5,"")))))))</f>
        <v/>
      </c>
      <c r="E35" s="14">
        <f>IF('Property Data'!H34="","",'Property Data'!H34)</f>
        <v/>
      </c>
      <c r="F35" s="15">
        <f>IF('Property Data'!G34="","",'Property Data'!G34)</f>
        <v/>
      </c>
      <c r="G35" s="16">
        <f>IF('Property Data'!I34="","",'Property Data'!I34)</f>
        <v/>
      </c>
    </row>
    <row r="36">
      <c r="B36" s="9">
        <f>IF('Property Data'!B35="","",'Property Data'!B35)</f>
        <v/>
      </c>
      <c r="C36" s="9">
        <f>IF('Property Data'!C35="","",'Property Data'!C35)</f>
        <v/>
      </c>
      <c r="D36" s="10">
        <f>IF('Property Data'!D35="","",IF('Property Data'!D35="Studio",1,IF('Property Data'!D35="1 BR",1,IF('Property Data'!D35="2 BR",2,IF('Property Data'!D35="3 BR",3,IF('Property Data'!D35="4 BR",4,IF('Property Data'!D35="5 BR",5,"")))))))</f>
        <v/>
      </c>
      <c r="E36" s="10">
        <f>IF('Property Data'!H35="","",'Property Data'!H35)</f>
        <v/>
      </c>
      <c r="F36" s="11">
        <f>IF('Property Data'!G35="","",'Property Data'!G35)</f>
        <v/>
      </c>
      <c r="G36" s="12">
        <f>IF('Property Data'!I35="","",'Property Data'!I35)</f>
        <v/>
      </c>
    </row>
    <row r="37">
      <c r="B37" s="13">
        <f>IF('Property Data'!B36="","",'Property Data'!B36)</f>
        <v/>
      </c>
      <c r="C37" s="13">
        <f>IF('Property Data'!C36="","",'Property Data'!C36)</f>
        <v/>
      </c>
      <c r="D37" s="14">
        <f>IF('Property Data'!D36="","",IF('Property Data'!D36="Studio",1,IF('Property Data'!D36="1 BR",1,IF('Property Data'!D36="2 BR",2,IF('Property Data'!D36="3 BR",3,IF('Property Data'!D36="4 BR",4,IF('Property Data'!D36="5 BR",5,"")))))))</f>
        <v/>
      </c>
      <c r="E37" s="14">
        <f>IF('Property Data'!H36="","",'Property Data'!H36)</f>
        <v/>
      </c>
      <c r="F37" s="15">
        <f>IF('Property Data'!G36="","",'Property Data'!G36)</f>
        <v/>
      </c>
      <c r="G37" s="16">
        <f>IF('Property Data'!I36="","",'Property Data'!I36)</f>
        <v/>
      </c>
    </row>
    <row r="38">
      <c r="B38" s="9">
        <f>IF('Property Data'!B37="","",'Property Data'!B37)</f>
        <v/>
      </c>
      <c r="C38" s="9">
        <f>IF('Property Data'!C37="","",'Property Data'!C37)</f>
        <v/>
      </c>
      <c r="D38" s="10">
        <f>IF('Property Data'!D37="","",IF('Property Data'!D37="Studio",1,IF('Property Data'!D37="1 BR",1,IF('Property Data'!D37="2 BR",2,IF('Property Data'!D37="3 BR",3,IF('Property Data'!D37="4 BR",4,IF('Property Data'!D37="5 BR",5,"")))))))</f>
        <v/>
      </c>
      <c r="E38" s="10">
        <f>IF('Property Data'!H37="","",'Property Data'!H37)</f>
        <v/>
      </c>
      <c r="F38" s="11">
        <f>IF('Property Data'!G37="","",'Property Data'!G37)</f>
        <v/>
      </c>
      <c r="G38" s="12">
        <f>IF('Property Data'!I37="","",'Property Data'!I37)</f>
        <v/>
      </c>
    </row>
    <row r="39">
      <c r="B39" s="13">
        <f>IF('Property Data'!B38="","",'Property Data'!B38)</f>
        <v/>
      </c>
      <c r="C39" s="13">
        <f>IF('Property Data'!C38="","",'Property Data'!C38)</f>
        <v/>
      </c>
      <c r="D39" s="14">
        <f>IF('Property Data'!D38="","",IF('Property Data'!D38="Studio",1,IF('Property Data'!D38="1 BR",1,IF('Property Data'!D38="2 BR",2,IF('Property Data'!D38="3 BR",3,IF('Property Data'!D38="4 BR",4,IF('Property Data'!D38="5 BR",5,"")))))))</f>
        <v/>
      </c>
      <c r="E39" s="14">
        <f>IF('Property Data'!H38="","",'Property Data'!H38)</f>
        <v/>
      </c>
      <c r="F39" s="15">
        <f>IF('Property Data'!G38="","",'Property Data'!G38)</f>
        <v/>
      </c>
      <c r="G39" s="16">
        <f>IF('Property Data'!I38="","",'Property Data'!I38)</f>
        <v/>
      </c>
    </row>
    <row r="40">
      <c r="B40" s="9">
        <f>IF('Property Data'!B39="","",'Property Data'!B39)</f>
        <v/>
      </c>
      <c r="C40" s="9">
        <f>IF('Property Data'!C39="","",'Property Data'!C39)</f>
        <v/>
      </c>
      <c r="D40" s="10">
        <f>IF('Property Data'!D39="","",IF('Property Data'!D39="Studio",1,IF('Property Data'!D39="1 BR",1,IF('Property Data'!D39="2 BR",2,IF('Property Data'!D39="3 BR",3,IF('Property Data'!D39="4 BR",4,IF('Property Data'!D39="5 BR",5,"")))))))</f>
        <v/>
      </c>
      <c r="E40" s="10">
        <f>IF('Property Data'!H39="","",'Property Data'!H39)</f>
        <v/>
      </c>
      <c r="F40" s="11">
        <f>IF('Property Data'!G39="","",'Property Data'!G39)</f>
        <v/>
      </c>
      <c r="G40" s="12">
        <f>IF('Property Data'!I39="","",'Property Data'!I39)</f>
        <v/>
      </c>
    </row>
    <row r="41">
      <c r="B41" s="13">
        <f>IF('Property Data'!B40="","",'Property Data'!B40)</f>
        <v/>
      </c>
      <c r="C41" s="13">
        <f>IF('Property Data'!C40="","",'Property Data'!C40)</f>
        <v/>
      </c>
      <c r="D41" s="14">
        <f>IF('Property Data'!D40="","",IF('Property Data'!D40="Studio",1,IF('Property Data'!D40="1 BR",1,IF('Property Data'!D40="2 BR",2,IF('Property Data'!D40="3 BR",3,IF('Property Data'!D40="4 BR",4,IF('Property Data'!D40="5 BR",5,"")))))))</f>
        <v/>
      </c>
      <c r="E41" s="14">
        <f>IF('Property Data'!H40="","",'Property Data'!H40)</f>
        <v/>
      </c>
      <c r="F41" s="15">
        <f>IF('Property Data'!G40="","",'Property Data'!G40)</f>
        <v/>
      </c>
      <c r="G41" s="16">
        <f>IF('Property Data'!I40="","",'Property Data'!I40)</f>
        <v/>
      </c>
    </row>
    <row r="42">
      <c r="B42" s="9">
        <f>IF('Property Data'!B41="","",'Property Data'!B41)</f>
        <v/>
      </c>
      <c r="C42" s="9">
        <f>IF('Property Data'!C41="","",'Property Data'!C41)</f>
        <v/>
      </c>
      <c r="D42" s="10">
        <f>IF('Property Data'!D41="","",IF('Property Data'!D41="Studio",1,IF('Property Data'!D41="1 BR",1,IF('Property Data'!D41="2 BR",2,IF('Property Data'!D41="3 BR",3,IF('Property Data'!D41="4 BR",4,IF('Property Data'!D41="5 BR",5,"")))))))</f>
        <v/>
      </c>
      <c r="E42" s="10">
        <f>IF('Property Data'!H41="","",'Property Data'!H41)</f>
        <v/>
      </c>
      <c r="F42" s="11">
        <f>IF('Property Data'!G41="","",'Property Data'!G41)</f>
        <v/>
      </c>
      <c r="G42" s="12">
        <f>IF('Property Data'!I41="","",'Property Data'!I41)</f>
        <v/>
      </c>
    </row>
    <row r="43">
      <c r="B43" s="13">
        <f>IF('Property Data'!B42="","",'Property Data'!B42)</f>
        <v/>
      </c>
      <c r="C43" s="13">
        <f>IF('Property Data'!C42="","",'Property Data'!C42)</f>
        <v/>
      </c>
      <c r="D43" s="14">
        <f>IF('Property Data'!D42="","",IF('Property Data'!D42="Studio",1,IF('Property Data'!D42="1 BR",1,IF('Property Data'!D42="2 BR",2,IF('Property Data'!D42="3 BR",3,IF('Property Data'!D42="4 BR",4,IF('Property Data'!D42="5 BR",5,"")))))))</f>
        <v/>
      </c>
      <c r="E43" s="14">
        <f>IF('Property Data'!H42="","",'Property Data'!H42)</f>
        <v/>
      </c>
      <c r="F43" s="15">
        <f>IF('Property Data'!G42="","",'Property Data'!G42)</f>
        <v/>
      </c>
      <c r="G43" s="16">
        <f>IF('Property Data'!I42="","",'Property Data'!I42)</f>
        <v/>
      </c>
    </row>
    <row r="44">
      <c r="B44" s="9">
        <f>IF('Property Data'!B43="","",'Property Data'!B43)</f>
        <v/>
      </c>
      <c r="C44" s="9">
        <f>IF('Property Data'!C43="","",'Property Data'!C43)</f>
        <v/>
      </c>
      <c r="D44" s="10">
        <f>IF('Property Data'!D43="","",IF('Property Data'!D43="Studio",1,IF('Property Data'!D43="1 BR",1,IF('Property Data'!D43="2 BR",2,IF('Property Data'!D43="3 BR",3,IF('Property Data'!D43="4 BR",4,IF('Property Data'!D43="5 BR",5,"")))))))</f>
        <v/>
      </c>
      <c r="E44" s="10">
        <f>IF('Property Data'!H43="","",'Property Data'!H43)</f>
        <v/>
      </c>
      <c r="F44" s="11">
        <f>IF('Property Data'!G43="","",'Property Data'!G43)</f>
        <v/>
      </c>
      <c r="G44" s="12">
        <f>IF('Property Data'!I43="","",'Property Data'!I43)</f>
        <v/>
      </c>
    </row>
    <row r="45">
      <c r="B45" s="13">
        <f>IF('Property Data'!B44="","",'Property Data'!B44)</f>
        <v/>
      </c>
      <c r="C45" s="13">
        <f>IF('Property Data'!C44="","",'Property Data'!C44)</f>
        <v/>
      </c>
      <c r="D45" s="14">
        <f>IF('Property Data'!D44="","",IF('Property Data'!D44="Studio",1,IF('Property Data'!D44="1 BR",1,IF('Property Data'!D44="2 BR",2,IF('Property Data'!D44="3 BR",3,IF('Property Data'!D44="4 BR",4,IF('Property Data'!D44="5 BR",5,"")))))))</f>
        <v/>
      </c>
      <c r="E45" s="14">
        <f>IF('Property Data'!H44="","",'Property Data'!H44)</f>
        <v/>
      </c>
      <c r="F45" s="15">
        <f>IF('Property Data'!G44="","",'Property Data'!G44)</f>
        <v/>
      </c>
      <c r="G45" s="16">
        <f>IF('Property Data'!I44="","",'Property Data'!I44)</f>
        <v/>
      </c>
    </row>
    <row r="46">
      <c r="B46" s="9">
        <f>IF('Property Data'!B45="","",'Property Data'!B45)</f>
        <v/>
      </c>
      <c r="C46" s="9">
        <f>IF('Property Data'!C45="","",'Property Data'!C45)</f>
        <v/>
      </c>
      <c r="D46" s="10">
        <f>IF('Property Data'!D45="","",IF('Property Data'!D45="Studio",1,IF('Property Data'!D45="1 BR",1,IF('Property Data'!D45="2 BR",2,IF('Property Data'!D45="3 BR",3,IF('Property Data'!D45="4 BR",4,IF('Property Data'!D45="5 BR",5,"")))))))</f>
        <v/>
      </c>
      <c r="E46" s="10">
        <f>IF('Property Data'!H45="","",'Property Data'!H45)</f>
        <v/>
      </c>
      <c r="F46" s="11">
        <f>IF('Property Data'!G45="","",'Property Data'!G45)</f>
        <v/>
      </c>
      <c r="G46" s="12">
        <f>IF('Property Data'!I45="","",'Property Data'!I45)</f>
        <v/>
      </c>
    </row>
    <row r="47">
      <c r="B47" s="13">
        <f>IF('Property Data'!B46="","",'Property Data'!B46)</f>
        <v/>
      </c>
      <c r="C47" s="13">
        <f>IF('Property Data'!C46="","",'Property Data'!C46)</f>
        <v/>
      </c>
      <c r="D47" s="14">
        <f>IF('Property Data'!D46="","",IF('Property Data'!D46="Studio",1,IF('Property Data'!D46="1 BR",1,IF('Property Data'!D46="2 BR",2,IF('Property Data'!D46="3 BR",3,IF('Property Data'!D46="4 BR",4,IF('Property Data'!D46="5 BR",5,"")))))))</f>
        <v/>
      </c>
      <c r="E47" s="14">
        <f>IF('Property Data'!H46="","",'Property Data'!H46)</f>
        <v/>
      </c>
      <c r="F47" s="15">
        <f>IF('Property Data'!G46="","",'Property Data'!G46)</f>
        <v/>
      </c>
      <c r="G47" s="16">
        <f>IF('Property Data'!I46="","",'Property Data'!I46)</f>
        <v/>
      </c>
    </row>
    <row r="48">
      <c r="B48" s="9">
        <f>IF('Property Data'!B47="","",'Property Data'!B47)</f>
        <v/>
      </c>
      <c r="C48" s="9">
        <f>IF('Property Data'!C47="","",'Property Data'!C47)</f>
        <v/>
      </c>
      <c r="D48" s="10">
        <f>IF('Property Data'!D47="","",IF('Property Data'!D47="Studio",1,IF('Property Data'!D47="1 BR",1,IF('Property Data'!D47="2 BR",2,IF('Property Data'!D47="3 BR",3,IF('Property Data'!D47="4 BR",4,IF('Property Data'!D47="5 BR",5,"")))))))</f>
        <v/>
      </c>
      <c r="E48" s="10">
        <f>IF('Property Data'!H47="","",'Property Data'!H47)</f>
        <v/>
      </c>
      <c r="F48" s="11">
        <f>IF('Property Data'!G47="","",'Property Data'!G47)</f>
        <v/>
      </c>
      <c r="G48" s="12">
        <f>IF('Property Data'!I47="","",'Property Data'!I47)</f>
        <v/>
      </c>
    </row>
    <row r="49">
      <c r="B49" s="13">
        <f>IF('Property Data'!B48="","",'Property Data'!B48)</f>
        <v/>
      </c>
      <c r="C49" s="13">
        <f>IF('Property Data'!C48="","",'Property Data'!C48)</f>
        <v/>
      </c>
      <c r="D49" s="14">
        <f>IF('Property Data'!D48="","",IF('Property Data'!D48="Studio",1,IF('Property Data'!D48="1 BR",1,IF('Property Data'!D48="2 BR",2,IF('Property Data'!D48="3 BR",3,IF('Property Data'!D48="4 BR",4,IF('Property Data'!D48="5 BR",5,"")))))))</f>
        <v/>
      </c>
      <c r="E49" s="14">
        <f>IF('Property Data'!H48="","",'Property Data'!H48)</f>
        <v/>
      </c>
      <c r="F49" s="15">
        <f>IF('Property Data'!G48="","",'Property Data'!G48)</f>
        <v/>
      </c>
      <c r="G49" s="16">
        <f>IF('Property Data'!I48="","",'Property Data'!I48)</f>
        <v/>
      </c>
    </row>
    <row r="50">
      <c r="B50" s="9">
        <f>IF('Property Data'!B49="","",'Property Data'!B49)</f>
        <v/>
      </c>
      <c r="C50" s="9">
        <f>IF('Property Data'!C49="","",'Property Data'!C49)</f>
        <v/>
      </c>
      <c r="D50" s="10">
        <f>IF('Property Data'!D49="","",IF('Property Data'!D49="Studio",1,IF('Property Data'!D49="1 BR",1,IF('Property Data'!D49="2 BR",2,IF('Property Data'!D49="3 BR",3,IF('Property Data'!D49="4 BR",4,IF('Property Data'!D49="5 BR",5,"")))))))</f>
        <v/>
      </c>
      <c r="E50" s="10">
        <f>IF('Property Data'!H49="","",'Property Data'!H49)</f>
        <v/>
      </c>
      <c r="F50" s="11">
        <f>IF('Property Data'!G49="","",'Property Data'!G49)</f>
        <v/>
      </c>
      <c r="G50" s="12">
        <f>IF('Property Data'!I49="","",'Property Data'!I49)</f>
        <v/>
      </c>
    </row>
    <row r="51">
      <c r="B51" s="13">
        <f>IF('Property Data'!B50="","",'Property Data'!B50)</f>
        <v/>
      </c>
      <c r="C51" s="13">
        <f>IF('Property Data'!C50="","",'Property Data'!C50)</f>
        <v/>
      </c>
      <c r="D51" s="14">
        <f>IF('Property Data'!D50="","",IF('Property Data'!D50="Studio",1,IF('Property Data'!D50="1 BR",1,IF('Property Data'!D50="2 BR",2,IF('Property Data'!D50="3 BR",3,IF('Property Data'!D50="4 BR",4,IF('Property Data'!D50="5 BR",5,"")))))))</f>
        <v/>
      </c>
      <c r="E51" s="14">
        <f>IF('Property Data'!H50="","",'Property Data'!H50)</f>
        <v/>
      </c>
      <c r="F51" s="15">
        <f>IF('Property Data'!G50="","",'Property Data'!G50)</f>
        <v/>
      </c>
      <c r="G51" s="16">
        <f>IF('Property Data'!I50="","",'Property Data'!I50)</f>
        <v/>
      </c>
    </row>
    <row r="52">
      <c r="B52" s="9">
        <f>IF('Property Data'!B51="","",'Property Data'!B51)</f>
        <v/>
      </c>
      <c r="C52" s="9">
        <f>IF('Property Data'!C51="","",'Property Data'!C51)</f>
        <v/>
      </c>
      <c r="D52" s="10">
        <f>IF('Property Data'!D51="","",IF('Property Data'!D51="Studio",1,IF('Property Data'!D51="1 BR",1,IF('Property Data'!D51="2 BR",2,IF('Property Data'!D51="3 BR",3,IF('Property Data'!D51="4 BR",4,IF('Property Data'!D51="5 BR",5,"")))))))</f>
        <v/>
      </c>
      <c r="E52" s="10">
        <f>IF('Property Data'!H51="","",'Property Data'!H51)</f>
        <v/>
      </c>
      <c r="F52" s="11">
        <f>IF('Property Data'!G51="","",'Property Data'!G51)</f>
        <v/>
      </c>
      <c r="G52" s="12">
        <f>IF('Property Data'!I51="","",'Property Data'!I51)</f>
        <v/>
      </c>
    </row>
    <row r="53">
      <c r="B53" s="13">
        <f>IF('Property Data'!B52="","",'Property Data'!B52)</f>
        <v/>
      </c>
      <c r="C53" s="13">
        <f>IF('Property Data'!C52="","",'Property Data'!C52)</f>
        <v/>
      </c>
      <c r="D53" s="14">
        <f>IF('Property Data'!D52="","",IF('Property Data'!D52="Studio",1,IF('Property Data'!D52="1 BR",1,IF('Property Data'!D52="2 BR",2,IF('Property Data'!D52="3 BR",3,IF('Property Data'!D52="4 BR",4,IF('Property Data'!D52="5 BR",5,"")))))))</f>
        <v/>
      </c>
      <c r="E53" s="14">
        <f>IF('Property Data'!H52="","",'Property Data'!H52)</f>
        <v/>
      </c>
      <c r="F53" s="15">
        <f>IF('Property Data'!G52="","",'Property Data'!G52)</f>
        <v/>
      </c>
      <c r="G53" s="16">
        <f>IF('Property Data'!I52="","",'Property Data'!I52)</f>
        <v/>
      </c>
    </row>
    <row r="54">
      <c r="B54" s="9">
        <f>IF('Property Data'!B53="","",'Property Data'!B53)</f>
        <v/>
      </c>
      <c r="C54" s="9">
        <f>IF('Property Data'!C53="","",'Property Data'!C53)</f>
        <v/>
      </c>
      <c r="D54" s="10">
        <f>IF('Property Data'!D53="","",IF('Property Data'!D53="Studio",1,IF('Property Data'!D53="1 BR",1,IF('Property Data'!D53="2 BR",2,IF('Property Data'!D53="3 BR",3,IF('Property Data'!D53="4 BR",4,IF('Property Data'!D53="5 BR",5,"")))))))</f>
        <v/>
      </c>
      <c r="E54" s="10">
        <f>IF('Property Data'!H53="","",'Property Data'!H53)</f>
        <v/>
      </c>
      <c r="F54" s="11">
        <f>IF('Property Data'!G53="","",'Property Data'!G53)</f>
        <v/>
      </c>
      <c r="G54" s="12">
        <f>IF('Property Data'!I53="","",'Property Data'!I53)</f>
        <v/>
      </c>
    </row>
    <row r="55">
      <c r="B55" s="13">
        <f>IF('Property Data'!B54="","",'Property Data'!B54)</f>
        <v/>
      </c>
      <c r="C55" s="13">
        <f>IF('Property Data'!C54="","",'Property Data'!C54)</f>
        <v/>
      </c>
      <c r="D55" s="14">
        <f>IF('Property Data'!D54="","",IF('Property Data'!D54="Studio",1,IF('Property Data'!D54="1 BR",1,IF('Property Data'!D54="2 BR",2,IF('Property Data'!D54="3 BR",3,IF('Property Data'!D54="4 BR",4,IF('Property Data'!D54="5 BR",5,"")))))))</f>
        <v/>
      </c>
      <c r="E55" s="14">
        <f>IF('Property Data'!H54="","",'Property Data'!H54)</f>
        <v/>
      </c>
      <c r="F55" s="15">
        <f>IF('Property Data'!G54="","",'Property Data'!G54)</f>
        <v/>
      </c>
      <c r="G55" s="16">
        <f>IF('Property Data'!I54="","",'Property Data'!I54)</f>
        <v/>
      </c>
    </row>
    <row r="56">
      <c r="B56" s="9">
        <f>IF('Property Data'!B55="","",'Property Data'!B55)</f>
        <v/>
      </c>
      <c r="C56" s="9">
        <f>IF('Property Data'!C55="","",'Property Data'!C55)</f>
        <v/>
      </c>
      <c r="D56" s="10">
        <f>IF('Property Data'!D55="","",IF('Property Data'!D55="Studio",1,IF('Property Data'!D55="1 BR",1,IF('Property Data'!D55="2 BR",2,IF('Property Data'!D55="3 BR",3,IF('Property Data'!D55="4 BR",4,IF('Property Data'!D55="5 BR",5,"")))))))</f>
        <v/>
      </c>
      <c r="E56" s="10">
        <f>IF('Property Data'!H55="","",'Property Data'!H55)</f>
        <v/>
      </c>
      <c r="F56" s="11">
        <f>IF('Property Data'!G55="","",'Property Data'!G55)</f>
        <v/>
      </c>
      <c r="G56" s="12">
        <f>IF('Property Data'!I55="","",'Property Data'!I55)</f>
        <v/>
      </c>
    </row>
    <row r="57">
      <c r="B57" s="13">
        <f>IF('Property Data'!B56="","",'Property Data'!B56)</f>
        <v/>
      </c>
      <c r="C57" s="13">
        <f>IF('Property Data'!C56="","",'Property Data'!C56)</f>
        <v/>
      </c>
      <c r="D57" s="14">
        <f>IF('Property Data'!D56="","",IF('Property Data'!D56="Studio",1,IF('Property Data'!D56="1 BR",1,IF('Property Data'!D56="2 BR",2,IF('Property Data'!D56="3 BR",3,IF('Property Data'!D56="4 BR",4,IF('Property Data'!D56="5 BR",5,"")))))))</f>
        <v/>
      </c>
      <c r="E57" s="14">
        <f>IF('Property Data'!H56="","",'Property Data'!H56)</f>
        <v/>
      </c>
      <c r="F57" s="15">
        <f>IF('Property Data'!G56="","",'Property Data'!G56)</f>
        <v/>
      </c>
      <c r="G57" s="16">
        <f>IF('Property Data'!I56="","",'Property Data'!I56)</f>
        <v/>
      </c>
    </row>
    <row r="58">
      <c r="B58" s="9">
        <f>IF('Property Data'!B57="","",'Property Data'!B57)</f>
        <v/>
      </c>
      <c r="C58" s="9">
        <f>IF('Property Data'!C57="","",'Property Data'!C57)</f>
        <v/>
      </c>
      <c r="D58" s="10">
        <f>IF('Property Data'!D57="","",IF('Property Data'!D57="Studio",1,IF('Property Data'!D57="1 BR",1,IF('Property Data'!D57="2 BR",2,IF('Property Data'!D57="3 BR",3,IF('Property Data'!D57="4 BR",4,IF('Property Data'!D57="5 BR",5,"")))))))</f>
        <v/>
      </c>
      <c r="E58" s="10">
        <f>IF('Property Data'!H57="","",'Property Data'!H57)</f>
        <v/>
      </c>
      <c r="F58" s="11">
        <f>IF('Property Data'!G57="","",'Property Data'!G57)</f>
        <v/>
      </c>
      <c r="G58" s="12">
        <f>IF('Property Data'!I57="","",'Property Data'!I57)</f>
        <v/>
      </c>
    </row>
    <row r="59">
      <c r="B59" s="13">
        <f>IF('Property Data'!B58="","",'Property Data'!B58)</f>
        <v/>
      </c>
      <c r="C59" s="13">
        <f>IF('Property Data'!C58="","",'Property Data'!C58)</f>
        <v/>
      </c>
      <c r="D59" s="14">
        <f>IF('Property Data'!D58="","",IF('Property Data'!D58="Studio",1,IF('Property Data'!D58="1 BR",1,IF('Property Data'!D58="2 BR",2,IF('Property Data'!D58="3 BR",3,IF('Property Data'!D58="4 BR",4,IF('Property Data'!D58="5 BR",5,"")))))))</f>
        <v/>
      </c>
      <c r="E59" s="14">
        <f>IF('Property Data'!H58="","",'Property Data'!H58)</f>
        <v/>
      </c>
      <c r="F59" s="15">
        <f>IF('Property Data'!G58="","",'Property Data'!G58)</f>
        <v/>
      </c>
      <c r="G59" s="16">
        <f>IF('Property Data'!I58="","",'Property Data'!I58)</f>
        <v/>
      </c>
    </row>
    <row r="60">
      <c r="B60" s="9">
        <f>IF('Property Data'!B59="","",'Property Data'!B59)</f>
        <v/>
      </c>
      <c r="C60" s="9">
        <f>IF('Property Data'!C59="","",'Property Data'!C59)</f>
        <v/>
      </c>
      <c r="D60" s="10">
        <f>IF('Property Data'!D59="","",IF('Property Data'!D59="Studio",1,IF('Property Data'!D59="1 BR",1,IF('Property Data'!D59="2 BR",2,IF('Property Data'!D59="3 BR",3,IF('Property Data'!D59="4 BR",4,IF('Property Data'!D59="5 BR",5,"")))))))</f>
        <v/>
      </c>
      <c r="E60" s="10">
        <f>IF('Property Data'!H59="","",'Property Data'!H59)</f>
        <v/>
      </c>
      <c r="F60" s="11">
        <f>IF('Property Data'!G59="","",'Property Data'!G59)</f>
        <v/>
      </c>
      <c r="G60" s="12">
        <f>IF('Property Data'!I59="","",'Property Data'!I59)</f>
        <v/>
      </c>
    </row>
    <row r="61">
      <c r="B61" s="13">
        <f>IF('Property Data'!B60="","",'Property Data'!B60)</f>
        <v/>
      </c>
      <c r="C61" s="13">
        <f>IF('Property Data'!C60="","",'Property Data'!C60)</f>
        <v/>
      </c>
      <c r="D61" s="14">
        <f>IF('Property Data'!D60="","",IF('Property Data'!D60="Studio",1,IF('Property Data'!D60="1 BR",1,IF('Property Data'!D60="2 BR",2,IF('Property Data'!D60="3 BR",3,IF('Property Data'!D60="4 BR",4,IF('Property Data'!D60="5 BR",5,"")))))))</f>
        <v/>
      </c>
      <c r="E61" s="14">
        <f>IF('Property Data'!H60="","",'Property Data'!H60)</f>
        <v/>
      </c>
      <c r="F61" s="15">
        <f>IF('Property Data'!G60="","",'Property Data'!G60)</f>
        <v/>
      </c>
      <c r="G61" s="16">
        <f>IF('Property Data'!I60="","",'Property Data'!I60)</f>
        <v/>
      </c>
    </row>
    <row r="62">
      <c r="B62" s="9">
        <f>IF('Property Data'!B61="","",'Property Data'!B61)</f>
        <v/>
      </c>
      <c r="C62" s="9">
        <f>IF('Property Data'!C61="","",'Property Data'!C61)</f>
        <v/>
      </c>
      <c r="D62" s="10">
        <f>IF('Property Data'!D61="","",IF('Property Data'!D61="Studio",1,IF('Property Data'!D61="1 BR",1,IF('Property Data'!D61="2 BR",2,IF('Property Data'!D61="3 BR",3,IF('Property Data'!D61="4 BR",4,IF('Property Data'!D61="5 BR",5,"")))))))</f>
        <v/>
      </c>
      <c r="E62" s="10">
        <f>IF('Property Data'!H61="","",'Property Data'!H61)</f>
        <v/>
      </c>
      <c r="F62" s="11">
        <f>IF('Property Data'!G61="","",'Property Data'!G61)</f>
        <v/>
      </c>
      <c r="G62" s="12">
        <f>IF('Property Data'!I61="","",'Property Data'!I61)</f>
        <v/>
      </c>
    </row>
    <row r="63">
      <c r="B63" s="13">
        <f>IF('Property Data'!B62="","",'Property Data'!B62)</f>
        <v/>
      </c>
      <c r="C63" s="13">
        <f>IF('Property Data'!C62="","",'Property Data'!C62)</f>
        <v/>
      </c>
      <c r="D63" s="14">
        <f>IF('Property Data'!D62="","",IF('Property Data'!D62="Studio",1,IF('Property Data'!D62="1 BR",1,IF('Property Data'!D62="2 BR",2,IF('Property Data'!D62="3 BR",3,IF('Property Data'!D62="4 BR",4,IF('Property Data'!D62="5 BR",5,"")))))))</f>
        <v/>
      </c>
      <c r="E63" s="14">
        <f>IF('Property Data'!H62="","",'Property Data'!H62)</f>
        <v/>
      </c>
      <c r="F63" s="15">
        <f>IF('Property Data'!G62="","",'Property Data'!G62)</f>
        <v/>
      </c>
      <c r="G63" s="16">
        <f>IF('Property Data'!I62="","",'Property Data'!I62)</f>
        <v/>
      </c>
    </row>
    <row r="64">
      <c r="B64" s="9">
        <f>IF('Property Data'!B63="","",'Property Data'!B63)</f>
        <v/>
      </c>
      <c r="C64" s="9">
        <f>IF('Property Data'!C63="","",'Property Data'!C63)</f>
        <v/>
      </c>
      <c r="D64" s="10">
        <f>IF('Property Data'!D63="","",IF('Property Data'!D63="Studio",1,IF('Property Data'!D63="1 BR",1,IF('Property Data'!D63="2 BR",2,IF('Property Data'!D63="3 BR",3,IF('Property Data'!D63="4 BR",4,IF('Property Data'!D63="5 BR",5,"")))))))</f>
        <v/>
      </c>
      <c r="E64" s="10">
        <f>IF('Property Data'!H63="","",'Property Data'!H63)</f>
        <v/>
      </c>
      <c r="F64" s="11">
        <f>IF('Property Data'!G63="","",'Property Data'!G63)</f>
        <v/>
      </c>
      <c r="G64" s="12">
        <f>IF('Property Data'!I63="","",'Property Data'!I63)</f>
        <v/>
      </c>
    </row>
    <row r="65">
      <c r="B65" s="13">
        <f>IF('Property Data'!B64="","",'Property Data'!B64)</f>
        <v/>
      </c>
      <c r="C65" s="13">
        <f>IF('Property Data'!C64="","",'Property Data'!C64)</f>
        <v/>
      </c>
      <c r="D65" s="14">
        <f>IF('Property Data'!D64="","",IF('Property Data'!D64="Studio",1,IF('Property Data'!D64="1 BR",1,IF('Property Data'!D64="2 BR",2,IF('Property Data'!D64="3 BR",3,IF('Property Data'!D64="4 BR",4,IF('Property Data'!D64="5 BR",5,"")))))))</f>
        <v/>
      </c>
      <c r="E65" s="14">
        <f>IF('Property Data'!H64="","",'Property Data'!H64)</f>
        <v/>
      </c>
      <c r="F65" s="15">
        <f>IF('Property Data'!G64="","",'Property Data'!G64)</f>
        <v/>
      </c>
      <c r="G65" s="16">
        <f>IF('Property Data'!I64="","",'Property Data'!I64)</f>
        <v/>
      </c>
    </row>
    <row r="66">
      <c r="B66" s="9">
        <f>IF('Property Data'!B65="","",'Property Data'!B65)</f>
        <v/>
      </c>
      <c r="C66" s="9">
        <f>IF('Property Data'!C65="","",'Property Data'!C65)</f>
        <v/>
      </c>
      <c r="D66" s="10">
        <f>IF('Property Data'!D65="","",IF('Property Data'!D65="Studio",1,IF('Property Data'!D65="1 BR",1,IF('Property Data'!D65="2 BR",2,IF('Property Data'!D65="3 BR",3,IF('Property Data'!D65="4 BR",4,IF('Property Data'!D65="5 BR",5,"")))))))</f>
        <v/>
      </c>
      <c r="E66" s="10">
        <f>IF('Property Data'!H65="","",'Property Data'!H65)</f>
        <v/>
      </c>
      <c r="F66" s="11">
        <f>IF('Property Data'!G65="","",'Property Data'!G65)</f>
        <v/>
      </c>
      <c r="G66" s="12">
        <f>IF('Property Data'!I65="","",'Property Data'!I65)</f>
        <v/>
      </c>
    </row>
    <row r="67">
      <c r="B67" s="13">
        <f>IF('Property Data'!B66="","",'Property Data'!B66)</f>
        <v/>
      </c>
      <c r="C67" s="13">
        <f>IF('Property Data'!C66="","",'Property Data'!C66)</f>
        <v/>
      </c>
      <c r="D67" s="14">
        <f>IF('Property Data'!D66="","",IF('Property Data'!D66="Studio",1,IF('Property Data'!D66="1 BR",1,IF('Property Data'!D66="2 BR",2,IF('Property Data'!D66="3 BR",3,IF('Property Data'!D66="4 BR",4,IF('Property Data'!D66="5 BR",5,"")))))))</f>
        <v/>
      </c>
      <c r="E67" s="14">
        <f>IF('Property Data'!H66="","",'Property Data'!H66)</f>
        <v/>
      </c>
      <c r="F67" s="15">
        <f>IF('Property Data'!G66="","",'Property Data'!G66)</f>
        <v/>
      </c>
      <c r="G67" s="16">
        <f>IF('Property Data'!I66="","",'Property Data'!I66)</f>
        <v/>
      </c>
    </row>
    <row r="68">
      <c r="B68" s="9">
        <f>IF('Property Data'!B67="","",'Property Data'!B67)</f>
        <v/>
      </c>
      <c r="C68" s="9">
        <f>IF('Property Data'!C67="","",'Property Data'!C67)</f>
        <v/>
      </c>
      <c r="D68" s="10">
        <f>IF('Property Data'!D67="","",IF('Property Data'!D67="Studio",1,IF('Property Data'!D67="1 BR",1,IF('Property Data'!D67="2 BR",2,IF('Property Data'!D67="3 BR",3,IF('Property Data'!D67="4 BR",4,IF('Property Data'!D67="5 BR",5,"")))))))</f>
        <v/>
      </c>
      <c r="E68" s="10">
        <f>IF('Property Data'!H67="","",'Property Data'!H67)</f>
        <v/>
      </c>
      <c r="F68" s="11">
        <f>IF('Property Data'!G67="","",'Property Data'!G67)</f>
        <v/>
      </c>
      <c r="G68" s="12">
        <f>IF('Property Data'!I67="","",'Property Data'!I67)</f>
        <v/>
      </c>
    </row>
    <row r="69">
      <c r="B69" s="13">
        <f>IF('Property Data'!B68="","",'Property Data'!B68)</f>
        <v/>
      </c>
      <c r="C69" s="13">
        <f>IF('Property Data'!C68="","",'Property Data'!C68)</f>
        <v/>
      </c>
      <c r="D69" s="14">
        <f>IF('Property Data'!D68="","",IF('Property Data'!D68="Studio",1,IF('Property Data'!D68="1 BR",1,IF('Property Data'!D68="2 BR",2,IF('Property Data'!D68="3 BR",3,IF('Property Data'!D68="4 BR",4,IF('Property Data'!D68="5 BR",5,"")))))))</f>
        <v/>
      </c>
      <c r="E69" s="14">
        <f>IF('Property Data'!H68="","",'Property Data'!H68)</f>
        <v/>
      </c>
      <c r="F69" s="15">
        <f>IF('Property Data'!G68="","",'Property Data'!G68)</f>
        <v/>
      </c>
      <c r="G69" s="16">
        <f>IF('Property Data'!I68="","",'Property Data'!I68)</f>
        <v/>
      </c>
    </row>
    <row r="70">
      <c r="B70" s="9">
        <f>IF('Property Data'!B69="","",'Property Data'!B69)</f>
        <v/>
      </c>
      <c r="C70" s="9">
        <f>IF('Property Data'!C69="","",'Property Data'!C69)</f>
        <v/>
      </c>
      <c r="D70" s="10">
        <f>IF('Property Data'!D69="","",IF('Property Data'!D69="Studio",1,IF('Property Data'!D69="1 BR",1,IF('Property Data'!D69="2 BR",2,IF('Property Data'!D69="3 BR",3,IF('Property Data'!D69="4 BR",4,IF('Property Data'!D69="5 BR",5,"")))))))</f>
        <v/>
      </c>
      <c r="E70" s="10">
        <f>IF('Property Data'!H69="","",'Property Data'!H69)</f>
        <v/>
      </c>
      <c r="F70" s="11">
        <f>IF('Property Data'!G69="","",'Property Data'!G69)</f>
        <v/>
      </c>
      <c r="G70" s="12">
        <f>IF('Property Data'!I69="","",'Property Data'!I69)</f>
        <v/>
      </c>
    </row>
    <row r="71">
      <c r="B71" s="13">
        <f>IF('Property Data'!B70="","",'Property Data'!B70)</f>
        <v/>
      </c>
      <c r="C71" s="13">
        <f>IF('Property Data'!C70="","",'Property Data'!C70)</f>
        <v/>
      </c>
      <c r="D71" s="14">
        <f>IF('Property Data'!D70="","",IF('Property Data'!D70="Studio",1,IF('Property Data'!D70="1 BR",1,IF('Property Data'!D70="2 BR",2,IF('Property Data'!D70="3 BR",3,IF('Property Data'!D70="4 BR",4,IF('Property Data'!D70="5 BR",5,"")))))))</f>
        <v/>
      </c>
      <c r="E71" s="14">
        <f>IF('Property Data'!H70="","",'Property Data'!H70)</f>
        <v/>
      </c>
      <c r="F71" s="15">
        <f>IF('Property Data'!G70="","",'Property Data'!G70)</f>
        <v/>
      </c>
      <c r="G71" s="16">
        <f>IF('Property Data'!I70="","",'Property Data'!I70)</f>
        <v/>
      </c>
    </row>
    <row r="72">
      <c r="B72" s="9">
        <f>IF('Property Data'!B71="","",'Property Data'!B71)</f>
        <v/>
      </c>
      <c r="C72" s="9">
        <f>IF('Property Data'!C71="","",'Property Data'!C71)</f>
        <v/>
      </c>
      <c r="D72" s="10">
        <f>IF('Property Data'!D71="","",IF('Property Data'!D71="Studio",1,IF('Property Data'!D71="1 BR",1,IF('Property Data'!D71="2 BR",2,IF('Property Data'!D71="3 BR",3,IF('Property Data'!D71="4 BR",4,IF('Property Data'!D71="5 BR",5,"")))))))</f>
        <v/>
      </c>
      <c r="E72" s="10">
        <f>IF('Property Data'!H71="","",'Property Data'!H71)</f>
        <v/>
      </c>
      <c r="F72" s="11">
        <f>IF('Property Data'!G71="","",'Property Data'!G71)</f>
        <v/>
      </c>
      <c r="G72" s="12">
        <f>IF('Property Data'!I71="","",'Property Data'!I71)</f>
        <v/>
      </c>
    </row>
    <row r="73">
      <c r="B73" s="13">
        <f>IF('Property Data'!B72="","",'Property Data'!B72)</f>
        <v/>
      </c>
      <c r="C73" s="13">
        <f>IF('Property Data'!C72="","",'Property Data'!C72)</f>
        <v/>
      </c>
      <c r="D73" s="14">
        <f>IF('Property Data'!D72="","",IF('Property Data'!D72="Studio",1,IF('Property Data'!D72="1 BR",1,IF('Property Data'!D72="2 BR",2,IF('Property Data'!D72="3 BR",3,IF('Property Data'!D72="4 BR",4,IF('Property Data'!D72="5 BR",5,"")))))))</f>
        <v/>
      </c>
      <c r="E73" s="14">
        <f>IF('Property Data'!H72="","",'Property Data'!H72)</f>
        <v/>
      </c>
      <c r="F73" s="15">
        <f>IF('Property Data'!G72="","",'Property Data'!G72)</f>
        <v/>
      </c>
      <c r="G73" s="16">
        <f>IF('Property Data'!I72="","",'Property Data'!I72)</f>
        <v/>
      </c>
    </row>
    <row r="74">
      <c r="B74" s="9">
        <f>IF('Property Data'!B73="","",'Property Data'!B73)</f>
        <v/>
      </c>
      <c r="C74" s="9">
        <f>IF('Property Data'!C73="","",'Property Data'!C73)</f>
        <v/>
      </c>
      <c r="D74" s="10">
        <f>IF('Property Data'!D73="","",IF('Property Data'!D73="Studio",1,IF('Property Data'!D73="1 BR",1,IF('Property Data'!D73="2 BR",2,IF('Property Data'!D73="3 BR",3,IF('Property Data'!D73="4 BR",4,IF('Property Data'!D73="5 BR",5,"")))))))</f>
        <v/>
      </c>
      <c r="E74" s="10">
        <f>IF('Property Data'!H73="","",'Property Data'!H73)</f>
        <v/>
      </c>
      <c r="F74" s="11">
        <f>IF('Property Data'!G73="","",'Property Data'!G73)</f>
        <v/>
      </c>
      <c r="G74" s="12">
        <f>IF('Property Data'!I73="","",'Property Data'!I73)</f>
        <v/>
      </c>
    </row>
    <row r="75">
      <c r="B75" s="13">
        <f>IF('Property Data'!B74="","",'Property Data'!B74)</f>
        <v/>
      </c>
      <c r="C75" s="13">
        <f>IF('Property Data'!C74="","",'Property Data'!C74)</f>
        <v/>
      </c>
      <c r="D75" s="14">
        <f>IF('Property Data'!D74="","",IF('Property Data'!D74="Studio",1,IF('Property Data'!D74="1 BR",1,IF('Property Data'!D74="2 BR",2,IF('Property Data'!D74="3 BR",3,IF('Property Data'!D74="4 BR",4,IF('Property Data'!D74="5 BR",5,"")))))))</f>
        <v/>
      </c>
      <c r="E75" s="14">
        <f>IF('Property Data'!H74="","",'Property Data'!H74)</f>
        <v/>
      </c>
      <c r="F75" s="15">
        <f>IF('Property Data'!G74="","",'Property Data'!G74)</f>
        <v/>
      </c>
      <c r="G75" s="16">
        <f>IF('Property Data'!I74="","",'Property Data'!I74)</f>
        <v/>
      </c>
    </row>
    <row r="76">
      <c r="B76" s="9">
        <f>IF('Property Data'!B75="","",'Property Data'!B75)</f>
        <v/>
      </c>
      <c r="C76" s="9">
        <f>IF('Property Data'!C75="","",'Property Data'!C75)</f>
        <v/>
      </c>
      <c r="D76" s="10">
        <f>IF('Property Data'!D75="","",IF('Property Data'!D75="Studio",1,IF('Property Data'!D75="1 BR",1,IF('Property Data'!D75="2 BR",2,IF('Property Data'!D75="3 BR",3,IF('Property Data'!D75="4 BR",4,IF('Property Data'!D75="5 BR",5,"")))))))</f>
        <v/>
      </c>
      <c r="E76" s="10">
        <f>IF('Property Data'!H75="","",'Property Data'!H75)</f>
        <v/>
      </c>
      <c r="F76" s="11">
        <f>IF('Property Data'!G75="","",'Property Data'!G75)</f>
        <v/>
      </c>
      <c r="G76" s="12">
        <f>IF('Property Data'!I75="","",'Property Data'!I75)</f>
        <v/>
      </c>
    </row>
    <row r="77">
      <c r="B77" s="13">
        <f>IF('Property Data'!B76="","",'Property Data'!B76)</f>
        <v/>
      </c>
      <c r="C77" s="13">
        <f>IF('Property Data'!C76="","",'Property Data'!C76)</f>
        <v/>
      </c>
      <c r="D77" s="14">
        <f>IF('Property Data'!D76="","",IF('Property Data'!D76="Studio",1,IF('Property Data'!D76="1 BR",1,IF('Property Data'!D76="2 BR",2,IF('Property Data'!D76="3 BR",3,IF('Property Data'!D76="4 BR",4,IF('Property Data'!D76="5 BR",5,"")))))))</f>
        <v/>
      </c>
      <c r="E77" s="14">
        <f>IF('Property Data'!H76="","",'Property Data'!H76)</f>
        <v/>
      </c>
      <c r="F77" s="15">
        <f>IF('Property Data'!G76="","",'Property Data'!G76)</f>
        <v/>
      </c>
      <c r="G77" s="16">
        <f>IF('Property Data'!I76="","",'Property Data'!I76)</f>
        <v/>
      </c>
    </row>
    <row r="78">
      <c r="B78" s="9">
        <f>IF('Property Data'!B77="","",'Property Data'!B77)</f>
        <v/>
      </c>
      <c r="C78" s="9">
        <f>IF('Property Data'!C77="","",'Property Data'!C77)</f>
        <v/>
      </c>
      <c r="D78" s="10">
        <f>IF('Property Data'!D77="","",IF('Property Data'!D77="Studio",1,IF('Property Data'!D77="1 BR",1,IF('Property Data'!D77="2 BR",2,IF('Property Data'!D77="3 BR",3,IF('Property Data'!D77="4 BR",4,IF('Property Data'!D77="5 BR",5,"")))))))</f>
        <v/>
      </c>
      <c r="E78" s="10">
        <f>IF('Property Data'!H77="","",'Property Data'!H77)</f>
        <v/>
      </c>
      <c r="F78" s="11">
        <f>IF('Property Data'!G77="","",'Property Data'!G77)</f>
        <v/>
      </c>
      <c r="G78" s="12">
        <f>IF('Property Data'!I77="","",'Property Data'!I77)</f>
        <v/>
      </c>
    </row>
    <row r="79">
      <c r="B79" s="13">
        <f>IF('Property Data'!B78="","",'Property Data'!B78)</f>
        <v/>
      </c>
      <c r="C79" s="13">
        <f>IF('Property Data'!C78="","",'Property Data'!C78)</f>
        <v/>
      </c>
      <c r="D79" s="14">
        <f>IF('Property Data'!D78="","",IF('Property Data'!D78="Studio",1,IF('Property Data'!D78="1 BR",1,IF('Property Data'!D78="2 BR",2,IF('Property Data'!D78="3 BR",3,IF('Property Data'!D78="4 BR",4,IF('Property Data'!D78="5 BR",5,"")))))))</f>
        <v/>
      </c>
      <c r="E79" s="14">
        <f>IF('Property Data'!H78="","",'Property Data'!H78)</f>
        <v/>
      </c>
      <c r="F79" s="15">
        <f>IF('Property Data'!G78="","",'Property Data'!G78)</f>
        <v/>
      </c>
      <c r="G79" s="16">
        <f>IF('Property Data'!I78="","",'Property Data'!I78)</f>
        <v/>
      </c>
    </row>
    <row r="80">
      <c r="B80" s="9">
        <f>IF('Property Data'!B79="","",'Property Data'!B79)</f>
        <v/>
      </c>
      <c r="C80" s="9">
        <f>IF('Property Data'!C79="","",'Property Data'!C79)</f>
        <v/>
      </c>
      <c r="D80" s="10">
        <f>IF('Property Data'!D79="","",IF('Property Data'!D79="Studio",1,IF('Property Data'!D79="1 BR",1,IF('Property Data'!D79="2 BR",2,IF('Property Data'!D79="3 BR",3,IF('Property Data'!D79="4 BR",4,IF('Property Data'!D79="5 BR",5,"")))))))</f>
        <v/>
      </c>
      <c r="E80" s="10">
        <f>IF('Property Data'!H79="","",'Property Data'!H79)</f>
        <v/>
      </c>
      <c r="F80" s="11">
        <f>IF('Property Data'!G79="","",'Property Data'!G79)</f>
        <v/>
      </c>
      <c r="G80" s="12">
        <f>IF('Property Data'!I79="","",'Property Data'!I79)</f>
        <v/>
      </c>
    </row>
    <row r="81">
      <c r="B81" s="13">
        <f>IF('Property Data'!B80="","",'Property Data'!B80)</f>
        <v/>
      </c>
      <c r="C81" s="13">
        <f>IF('Property Data'!C80="","",'Property Data'!C80)</f>
        <v/>
      </c>
      <c r="D81" s="14">
        <f>IF('Property Data'!D80="","",IF('Property Data'!D80="Studio",1,IF('Property Data'!D80="1 BR",1,IF('Property Data'!D80="2 BR",2,IF('Property Data'!D80="3 BR",3,IF('Property Data'!D80="4 BR",4,IF('Property Data'!D80="5 BR",5,"")))))))</f>
        <v/>
      </c>
      <c r="E81" s="14">
        <f>IF('Property Data'!H80="","",'Property Data'!H80)</f>
        <v/>
      </c>
      <c r="F81" s="15">
        <f>IF('Property Data'!G80="","",'Property Data'!G80)</f>
        <v/>
      </c>
      <c r="G81" s="16">
        <f>IF('Property Data'!I80="","",'Property Data'!I80)</f>
        <v/>
      </c>
    </row>
    <row r="82">
      <c r="B82" s="9">
        <f>IF('Property Data'!B81="","",'Property Data'!B81)</f>
        <v/>
      </c>
      <c r="C82" s="9">
        <f>IF('Property Data'!C81="","",'Property Data'!C81)</f>
        <v/>
      </c>
      <c r="D82" s="10">
        <f>IF('Property Data'!D81="","",IF('Property Data'!D81="Studio",1,IF('Property Data'!D81="1 BR",1,IF('Property Data'!D81="2 BR",2,IF('Property Data'!D81="3 BR",3,IF('Property Data'!D81="4 BR",4,IF('Property Data'!D81="5 BR",5,"")))))))</f>
        <v/>
      </c>
      <c r="E82" s="10">
        <f>IF('Property Data'!H81="","",'Property Data'!H81)</f>
        <v/>
      </c>
      <c r="F82" s="11">
        <f>IF('Property Data'!G81="","",'Property Data'!G81)</f>
        <v/>
      </c>
      <c r="G82" s="12">
        <f>IF('Property Data'!I81="","",'Property Data'!I81)</f>
        <v/>
      </c>
    </row>
    <row r="83">
      <c r="B83" s="13">
        <f>IF('Property Data'!B82="","",'Property Data'!B82)</f>
        <v/>
      </c>
      <c r="C83" s="13">
        <f>IF('Property Data'!C82="","",'Property Data'!C82)</f>
        <v/>
      </c>
      <c r="D83" s="14">
        <f>IF('Property Data'!D82="","",IF('Property Data'!D82="Studio",1,IF('Property Data'!D82="1 BR",1,IF('Property Data'!D82="2 BR",2,IF('Property Data'!D82="3 BR",3,IF('Property Data'!D82="4 BR",4,IF('Property Data'!D82="5 BR",5,"")))))))</f>
        <v/>
      </c>
      <c r="E83" s="14">
        <f>IF('Property Data'!H82="","",'Property Data'!H82)</f>
        <v/>
      </c>
      <c r="F83" s="15">
        <f>IF('Property Data'!G82="","",'Property Data'!G82)</f>
        <v/>
      </c>
      <c r="G83" s="16">
        <f>IF('Property Data'!I82="","",'Property Data'!I82)</f>
        <v/>
      </c>
    </row>
    <row r="84">
      <c r="B84" s="9">
        <f>IF('Property Data'!B83="","",'Property Data'!B83)</f>
        <v/>
      </c>
      <c r="C84" s="9">
        <f>IF('Property Data'!C83="","",'Property Data'!C83)</f>
        <v/>
      </c>
      <c r="D84" s="10">
        <f>IF('Property Data'!D83="","",IF('Property Data'!D83="Studio",1,IF('Property Data'!D83="1 BR",1,IF('Property Data'!D83="2 BR",2,IF('Property Data'!D83="3 BR",3,IF('Property Data'!D83="4 BR",4,IF('Property Data'!D83="5 BR",5,"")))))))</f>
        <v/>
      </c>
      <c r="E84" s="10">
        <f>IF('Property Data'!H83="","",'Property Data'!H83)</f>
        <v/>
      </c>
      <c r="F84" s="11">
        <f>IF('Property Data'!G83="","",'Property Data'!G83)</f>
        <v/>
      </c>
      <c r="G84" s="12">
        <f>IF('Property Data'!I83="","",'Property Data'!I83)</f>
        <v/>
      </c>
    </row>
    <row r="85">
      <c r="B85" s="13">
        <f>IF('Property Data'!B84="","",'Property Data'!B84)</f>
        <v/>
      </c>
      <c r="C85" s="13">
        <f>IF('Property Data'!C84="","",'Property Data'!C84)</f>
        <v/>
      </c>
      <c r="D85" s="14">
        <f>IF('Property Data'!D84="","",IF('Property Data'!D84="Studio",1,IF('Property Data'!D84="1 BR",1,IF('Property Data'!D84="2 BR",2,IF('Property Data'!D84="3 BR",3,IF('Property Data'!D84="4 BR",4,IF('Property Data'!D84="5 BR",5,"")))))))</f>
        <v/>
      </c>
      <c r="E85" s="14">
        <f>IF('Property Data'!H84="","",'Property Data'!H84)</f>
        <v/>
      </c>
      <c r="F85" s="15">
        <f>IF('Property Data'!G84="","",'Property Data'!G84)</f>
        <v/>
      </c>
      <c r="G85" s="16">
        <f>IF('Property Data'!I84="","",'Property Data'!I84)</f>
        <v/>
      </c>
    </row>
    <row r="86">
      <c r="B86" s="9">
        <f>IF('Property Data'!B85="","",'Property Data'!B85)</f>
        <v/>
      </c>
      <c r="C86" s="9">
        <f>IF('Property Data'!C85="","",'Property Data'!C85)</f>
        <v/>
      </c>
      <c r="D86" s="10">
        <f>IF('Property Data'!D85="","",IF('Property Data'!D85="Studio",1,IF('Property Data'!D85="1 BR",1,IF('Property Data'!D85="2 BR",2,IF('Property Data'!D85="3 BR",3,IF('Property Data'!D85="4 BR",4,IF('Property Data'!D85="5 BR",5,"")))))))</f>
        <v/>
      </c>
      <c r="E86" s="10">
        <f>IF('Property Data'!H85="","",'Property Data'!H85)</f>
        <v/>
      </c>
      <c r="F86" s="11">
        <f>IF('Property Data'!G85="","",'Property Data'!G85)</f>
        <v/>
      </c>
      <c r="G86" s="12">
        <f>IF('Property Data'!I85="","",'Property Data'!I85)</f>
        <v/>
      </c>
    </row>
    <row r="87">
      <c r="B87" s="13">
        <f>IF('Property Data'!B86="","",'Property Data'!B86)</f>
        <v/>
      </c>
      <c r="C87" s="13">
        <f>IF('Property Data'!C86="","",'Property Data'!C86)</f>
        <v/>
      </c>
      <c r="D87" s="14">
        <f>IF('Property Data'!D86="","",IF('Property Data'!D86="Studio",1,IF('Property Data'!D86="1 BR",1,IF('Property Data'!D86="2 BR",2,IF('Property Data'!D86="3 BR",3,IF('Property Data'!D86="4 BR",4,IF('Property Data'!D86="5 BR",5,"")))))))</f>
        <v/>
      </c>
      <c r="E87" s="14">
        <f>IF('Property Data'!H86="","",'Property Data'!H86)</f>
        <v/>
      </c>
      <c r="F87" s="15">
        <f>IF('Property Data'!G86="","",'Property Data'!G86)</f>
        <v/>
      </c>
      <c r="G87" s="16">
        <f>IF('Property Data'!I86="","",'Property Data'!I86)</f>
        <v/>
      </c>
    </row>
    <row r="88">
      <c r="B88" s="9">
        <f>IF('Property Data'!B87="","",'Property Data'!B87)</f>
        <v/>
      </c>
      <c r="C88" s="9">
        <f>IF('Property Data'!C87="","",'Property Data'!C87)</f>
        <v/>
      </c>
      <c r="D88" s="10">
        <f>IF('Property Data'!D87="","",IF('Property Data'!D87="Studio",1,IF('Property Data'!D87="1 BR",1,IF('Property Data'!D87="2 BR",2,IF('Property Data'!D87="3 BR",3,IF('Property Data'!D87="4 BR",4,IF('Property Data'!D87="5 BR",5,"")))))))</f>
        <v/>
      </c>
      <c r="E88" s="10">
        <f>IF('Property Data'!H87="","",'Property Data'!H87)</f>
        <v/>
      </c>
      <c r="F88" s="11">
        <f>IF('Property Data'!G87="","",'Property Data'!G87)</f>
        <v/>
      </c>
      <c r="G88" s="12">
        <f>IF('Property Data'!I87="","",'Property Data'!I87)</f>
        <v/>
      </c>
    </row>
    <row r="89">
      <c r="B89" s="13">
        <f>IF('Property Data'!B88="","",'Property Data'!B88)</f>
        <v/>
      </c>
      <c r="C89" s="13">
        <f>IF('Property Data'!C88="","",'Property Data'!C88)</f>
        <v/>
      </c>
      <c r="D89" s="14">
        <f>IF('Property Data'!D88="","",IF('Property Data'!D88="Studio",1,IF('Property Data'!D88="1 BR",1,IF('Property Data'!D88="2 BR",2,IF('Property Data'!D88="3 BR",3,IF('Property Data'!D88="4 BR",4,IF('Property Data'!D88="5 BR",5,"")))))))</f>
        <v/>
      </c>
      <c r="E89" s="14">
        <f>IF('Property Data'!H88="","",'Property Data'!H88)</f>
        <v/>
      </c>
      <c r="F89" s="15">
        <f>IF('Property Data'!G88="","",'Property Data'!G88)</f>
        <v/>
      </c>
      <c r="G89" s="16">
        <f>IF('Property Data'!I88="","",'Property Data'!I88)</f>
        <v/>
      </c>
    </row>
    <row r="90">
      <c r="B90" s="9">
        <f>IF('Property Data'!B89="","",'Property Data'!B89)</f>
        <v/>
      </c>
      <c r="C90" s="9">
        <f>IF('Property Data'!C89="","",'Property Data'!C89)</f>
        <v/>
      </c>
      <c r="D90" s="10">
        <f>IF('Property Data'!D89="","",IF('Property Data'!D89="Studio",1,IF('Property Data'!D89="1 BR",1,IF('Property Data'!D89="2 BR",2,IF('Property Data'!D89="3 BR",3,IF('Property Data'!D89="4 BR",4,IF('Property Data'!D89="5 BR",5,"")))))))</f>
        <v/>
      </c>
      <c r="E90" s="10">
        <f>IF('Property Data'!H89="","",'Property Data'!H89)</f>
        <v/>
      </c>
      <c r="F90" s="11">
        <f>IF('Property Data'!G89="","",'Property Data'!G89)</f>
        <v/>
      </c>
      <c r="G90" s="12">
        <f>IF('Property Data'!I89="","",'Property Data'!I89)</f>
        <v/>
      </c>
    </row>
    <row r="91">
      <c r="B91" s="13">
        <f>IF('Property Data'!B90="","",'Property Data'!B90)</f>
        <v/>
      </c>
      <c r="C91" s="13">
        <f>IF('Property Data'!C90="","",'Property Data'!C90)</f>
        <v/>
      </c>
      <c r="D91" s="14">
        <f>IF('Property Data'!D90="","",IF('Property Data'!D90="Studio",1,IF('Property Data'!D90="1 BR",1,IF('Property Data'!D90="2 BR",2,IF('Property Data'!D90="3 BR",3,IF('Property Data'!D90="4 BR",4,IF('Property Data'!D90="5 BR",5,"")))))))</f>
        <v/>
      </c>
      <c r="E91" s="14">
        <f>IF('Property Data'!H90="","",'Property Data'!H90)</f>
        <v/>
      </c>
      <c r="F91" s="15">
        <f>IF('Property Data'!G90="","",'Property Data'!G90)</f>
        <v/>
      </c>
      <c r="G91" s="16">
        <f>IF('Property Data'!I90="","",'Property Data'!I90)</f>
        <v/>
      </c>
    </row>
    <row r="92">
      <c r="B92" s="9">
        <f>IF('Property Data'!B91="","",'Property Data'!B91)</f>
        <v/>
      </c>
      <c r="C92" s="9">
        <f>IF('Property Data'!C91="","",'Property Data'!C91)</f>
        <v/>
      </c>
      <c r="D92" s="10">
        <f>IF('Property Data'!D91="","",IF('Property Data'!D91="Studio",1,IF('Property Data'!D91="1 BR",1,IF('Property Data'!D91="2 BR",2,IF('Property Data'!D91="3 BR",3,IF('Property Data'!D91="4 BR",4,IF('Property Data'!D91="5 BR",5,"")))))))</f>
        <v/>
      </c>
      <c r="E92" s="10">
        <f>IF('Property Data'!H91="","",'Property Data'!H91)</f>
        <v/>
      </c>
      <c r="F92" s="11">
        <f>IF('Property Data'!G91="","",'Property Data'!G91)</f>
        <v/>
      </c>
      <c r="G92" s="12">
        <f>IF('Property Data'!I91="","",'Property Data'!I91)</f>
        <v/>
      </c>
    </row>
    <row r="93">
      <c r="B93" s="13">
        <f>IF('Property Data'!B92="","",'Property Data'!B92)</f>
        <v/>
      </c>
      <c r="C93" s="13">
        <f>IF('Property Data'!C92="","",'Property Data'!C92)</f>
        <v/>
      </c>
      <c r="D93" s="14">
        <f>IF('Property Data'!D92="","",IF('Property Data'!D92="Studio",1,IF('Property Data'!D92="1 BR",1,IF('Property Data'!D92="2 BR",2,IF('Property Data'!D92="3 BR",3,IF('Property Data'!D92="4 BR",4,IF('Property Data'!D92="5 BR",5,"")))))))</f>
        <v/>
      </c>
      <c r="E93" s="14">
        <f>IF('Property Data'!H92="","",'Property Data'!H92)</f>
        <v/>
      </c>
      <c r="F93" s="15">
        <f>IF('Property Data'!G92="","",'Property Data'!G92)</f>
        <v/>
      </c>
      <c r="G93" s="16">
        <f>IF('Property Data'!I92="","",'Property Data'!I92)</f>
        <v/>
      </c>
    </row>
    <row r="94">
      <c r="B94" s="9">
        <f>IF('Property Data'!B93="","",'Property Data'!B93)</f>
        <v/>
      </c>
      <c r="C94" s="9">
        <f>IF('Property Data'!C93="","",'Property Data'!C93)</f>
        <v/>
      </c>
      <c r="D94" s="10">
        <f>IF('Property Data'!D93="","",IF('Property Data'!D93="Studio",1,IF('Property Data'!D93="1 BR",1,IF('Property Data'!D93="2 BR",2,IF('Property Data'!D93="3 BR",3,IF('Property Data'!D93="4 BR",4,IF('Property Data'!D93="5 BR",5,"")))))))</f>
        <v/>
      </c>
      <c r="E94" s="10">
        <f>IF('Property Data'!H93="","",'Property Data'!H93)</f>
        <v/>
      </c>
      <c r="F94" s="11">
        <f>IF('Property Data'!G93="","",'Property Data'!G93)</f>
        <v/>
      </c>
      <c r="G94" s="12">
        <f>IF('Property Data'!I93="","",'Property Data'!I93)</f>
        <v/>
      </c>
    </row>
    <row r="95">
      <c r="B95" s="13">
        <f>IF('Property Data'!B94="","",'Property Data'!B94)</f>
        <v/>
      </c>
      <c r="C95" s="13">
        <f>IF('Property Data'!C94="","",'Property Data'!C94)</f>
        <v/>
      </c>
      <c r="D95" s="14">
        <f>IF('Property Data'!D94="","",IF('Property Data'!D94="Studio",1,IF('Property Data'!D94="1 BR",1,IF('Property Data'!D94="2 BR",2,IF('Property Data'!D94="3 BR",3,IF('Property Data'!D94="4 BR",4,IF('Property Data'!D94="5 BR",5,"")))))))</f>
        <v/>
      </c>
      <c r="E95" s="14">
        <f>IF('Property Data'!H94="","",'Property Data'!H94)</f>
        <v/>
      </c>
      <c r="F95" s="15">
        <f>IF('Property Data'!G94="","",'Property Data'!G94)</f>
        <v/>
      </c>
      <c r="G95" s="16">
        <f>IF('Property Data'!I94="","",'Property Data'!I94)</f>
        <v/>
      </c>
    </row>
    <row r="96">
      <c r="B96" s="9">
        <f>IF('Property Data'!B95="","",'Property Data'!B95)</f>
        <v/>
      </c>
      <c r="C96" s="9">
        <f>IF('Property Data'!C95="","",'Property Data'!C95)</f>
        <v/>
      </c>
      <c r="D96" s="10">
        <f>IF('Property Data'!D95="","",IF('Property Data'!D95="Studio",1,IF('Property Data'!D95="1 BR",1,IF('Property Data'!D95="2 BR",2,IF('Property Data'!D95="3 BR",3,IF('Property Data'!D95="4 BR",4,IF('Property Data'!D95="5 BR",5,"")))))))</f>
        <v/>
      </c>
      <c r="E96" s="10">
        <f>IF('Property Data'!H95="","",'Property Data'!H95)</f>
        <v/>
      </c>
      <c r="F96" s="11">
        <f>IF('Property Data'!G95="","",'Property Data'!G95)</f>
        <v/>
      </c>
      <c r="G96" s="12">
        <f>IF('Property Data'!I95="","",'Property Data'!I95)</f>
        <v/>
      </c>
    </row>
    <row r="97">
      <c r="B97" s="13">
        <f>IF('Property Data'!B96="","",'Property Data'!B96)</f>
        <v/>
      </c>
      <c r="C97" s="13">
        <f>IF('Property Data'!C96="","",'Property Data'!C96)</f>
        <v/>
      </c>
      <c r="D97" s="14">
        <f>IF('Property Data'!D96="","",IF('Property Data'!D96="Studio",1,IF('Property Data'!D96="1 BR",1,IF('Property Data'!D96="2 BR",2,IF('Property Data'!D96="3 BR",3,IF('Property Data'!D96="4 BR",4,IF('Property Data'!D96="5 BR",5,"")))))))</f>
        <v/>
      </c>
      <c r="E97" s="14">
        <f>IF('Property Data'!H96="","",'Property Data'!H96)</f>
        <v/>
      </c>
      <c r="F97" s="15">
        <f>IF('Property Data'!G96="","",'Property Data'!G96)</f>
        <v/>
      </c>
      <c r="G97" s="16">
        <f>IF('Property Data'!I96="","",'Property Data'!I96)</f>
        <v/>
      </c>
    </row>
    <row r="98">
      <c r="B98" s="9">
        <f>IF('Property Data'!B97="","",'Property Data'!B97)</f>
        <v/>
      </c>
      <c r="C98" s="9">
        <f>IF('Property Data'!C97="","",'Property Data'!C97)</f>
        <v/>
      </c>
      <c r="D98" s="10">
        <f>IF('Property Data'!D97="","",IF('Property Data'!D97="Studio",1,IF('Property Data'!D97="1 BR",1,IF('Property Data'!D97="2 BR",2,IF('Property Data'!D97="3 BR",3,IF('Property Data'!D97="4 BR",4,IF('Property Data'!D97="5 BR",5,"")))))))</f>
        <v/>
      </c>
      <c r="E98" s="10">
        <f>IF('Property Data'!H97="","",'Property Data'!H97)</f>
        <v/>
      </c>
      <c r="F98" s="11">
        <f>IF('Property Data'!G97="","",'Property Data'!G97)</f>
        <v/>
      </c>
      <c r="G98" s="12">
        <f>IF('Property Data'!I97="","",'Property Data'!I97)</f>
        <v/>
      </c>
    </row>
    <row r="99">
      <c r="B99" s="13">
        <f>IF('Property Data'!B98="","",'Property Data'!B98)</f>
        <v/>
      </c>
      <c r="C99" s="13">
        <f>IF('Property Data'!C98="","",'Property Data'!C98)</f>
        <v/>
      </c>
      <c r="D99" s="14">
        <f>IF('Property Data'!D98="","",IF('Property Data'!D98="Studio",1,IF('Property Data'!D98="1 BR",1,IF('Property Data'!D98="2 BR",2,IF('Property Data'!D98="3 BR",3,IF('Property Data'!D98="4 BR",4,IF('Property Data'!D98="5 BR",5,"")))))))</f>
        <v/>
      </c>
      <c r="E99" s="14">
        <f>IF('Property Data'!H98="","",'Property Data'!H98)</f>
        <v/>
      </c>
      <c r="F99" s="15">
        <f>IF('Property Data'!G98="","",'Property Data'!G98)</f>
        <v/>
      </c>
      <c r="G99" s="16">
        <f>IF('Property Data'!I98="","",'Property Data'!I98)</f>
        <v/>
      </c>
    </row>
    <row r="100">
      <c r="B100" s="9">
        <f>IF('Property Data'!B99="","",'Property Data'!B99)</f>
        <v/>
      </c>
      <c r="C100" s="9">
        <f>IF('Property Data'!C99="","",'Property Data'!C99)</f>
        <v/>
      </c>
      <c r="D100" s="10">
        <f>IF('Property Data'!D99="","",IF('Property Data'!D99="Studio",1,IF('Property Data'!D99="1 BR",1,IF('Property Data'!D99="2 BR",2,IF('Property Data'!D99="3 BR",3,IF('Property Data'!D99="4 BR",4,IF('Property Data'!D99="5 BR",5,"")))))))</f>
        <v/>
      </c>
      <c r="E100" s="10">
        <f>IF('Property Data'!H99="","",'Property Data'!H99)</f>
        <v/>
      </c>
      <c r="F100" s="11">
        <f>IF('Property Data'!G99="","",'Property Data'!G99)</f>
        <v/>
      </c>
      <c r="G100" s="12">
        <f>IF('Property Data'!I99="","",'Property Data'!I99)</f>
        <v/>
      </c>
    </row>
    <row r="101">
      <c r="B101" s="13">
        <f>IF('Property Data'!B100="","",'Property Data'!B100)</f>
        <v/>
      </c>
      <c r="C101" s="13">
        <f>IF('Property Data'!C100="","",'Property Data'!C100)</f>
        <v/>
      </c>
      <c r="D101" s="14">
        <f>IF('Property Data'!D100="","",IF('Property Data'!D100="Studio",1,IF('Property Data'!D100="1 BR",1,IF('Property Data'!D100="2 BR",2,IF('Property Data'!D100="3 BR",3,IF('Property Data'!D100="4 BR",4,IF('Property Data'!D100="5 BR",5,"")))))))</f>
        <v/>
      </c>
      <c r="E101" s="14">
        <f>IF('Property Data'!H100="","",'Property Data'!H100)</f>
        <v/>
      </c>
      <c r="F101" s="15">
        <f>IF('Property Data'!G100="","",'Property Data'!G100)</f>
        <v/>
      </c>
      <c r="G101" s="16">
        <f>IF('Property Data'!I100="","",'Property Data'!I100)</f>
        <v/>
      </c>
    </row>
    <row r="102">
      <c r="B102" s="9">
        <f>IF('Property Data'!B101="","",'Property Data'!B101)</f>
        <v/>
      </c>
      <c r="C102" s="9">
        <f>IF('Property Data'!C101="","",'Property Data'!C101)</f>
        <v/>
      </c>
      <c r="D102" s="10">
        <f>IF('Property Data'!D101="","",IF('Property Data'!D101="Studio",1,IF('Property Data'!D101="1 BR",1,IF('Property Data'!D101="2 BR",2,IF('Property Data'!D101="3 BR",3,IF('Property Data'!D101="4 BR",4,IF('Property Data'!D101="5 BR",5,"")))))))</f>
        <v/>
      </c>
      <c r="E102" s="10">
        <f>IF('Property Data'!H101="","",'Property Data'!H101)</f>
        <v/>
      </c>
      <c r="F102" s="11">
        <f>IF('Property Data'!G101="","",'Property Data'!G101)</f>
        <v/>
      </c>
      <c r="G102" s="12">
        <f>IF('Property Data'!I101="","",'Property Data'!I101)</f>
        <v/>
      </c>
    </row>
    <row r="103">
      <c r="B103" s="13">
        <f>IF('Property Data'!B102="","",'Property Data'!B102)</f>
        <v/>
      </c>
      <c r="C103" s="13">
        <f>IF('Property Data'!C102="","",'Property Data'!C102)</f>
        <v/>
      </c>
      <c r="D103" s="14">
        <f>IF('Property Data'!D102="","",IF('Property Data'!D102="Studio",1,IF('Property Data'!D102="1 BR",1,IF('Property Data'!D102="2 BR",2,IF('Property Data'!D102="3 BR",3,IF('Property Data'!D102="4 BR",4,IF('Property Data'!D102="5 BR",5,"")))))))</f>
        <v/>
      </c>
      <c r="E103" s="14">
        <f>IF('Property Data'!H102="","",'Property Data'!H102)</f>
        <v/>
      </c>
      <c r="F103" s="15">
        <f>IF('Property Data'!G102="","",'Property Data'!G102)</f>
        <v/>
      </c>
      <c r="G103" s="16">
        <f>IF('Property Data'!I102="","",'Property Data'!I102)</f>
        <v/>
      </c>
    </row>
    <row r="104">
      <c r="B104" s="9">
        <f>IF('Property Data'!B103="","",'Property Data'!B103)</f>
        <v/>
      </c>
      <c r="C104" s="9">
        <f>IF('Property Data'!C103="","",'Property Data'!C103)</f>
        <v/>
      </c>
      <c r="D104" s="10">
        <f>IF('Property Data'!D103="","",IF('Property Data'!D103="Studio",1,IF('Property Data'!D103="1 BR",1,IF('Property Data'!D103="2 BR",2,IF('Property Data'!D103="3 BR",3,IF('Property Data'!D103="4 BR",4,IF('Property Data'!D103="5 BR",5,"")))))))</f>
        <v/>
      </c>
      <c r="E104" s="10">
        <f>IF('Property Data'!H103="","",'Property Data'!H103)</f>
        <v/>
      </c>
      <c r="F104" s="11">
        <f>IF('Property Data'!G103="","",'Property Data'!G103)</f>
        <v/>
      </c>
      <c r="G104" s="12">
        <f>IF('Property Data'!I103="","",'Property Data'!I103)</f>
        <v/>
      </c>
    </row>
    <row r="105">
      <c r="B105" s="13">
        <f>IF('Property Data'!B104="","",'Property Data'!B104)</f>
        <v/>
      </c>
      <c r="C105" s="13">
        <f>IF('Property Data'!C104="","",'Property Data'!C104)</f>
        <v/>
      </c>
      <c r="D105" s="14">
        <f>IF('Property Data'!D104="","",IF('Property Data'!D104="Studio",1,IF('Property Data'!D104="1 BR",1,IF('Property Data'!D104="2 BR",2,IF('Property Data'!D104="3 BR",3,IF('Property Data'!D104="4 BR",4,IF('Property Data'!D104="5 BR",5,"")))))))</f>
        <v/>
      </c>
      <c r="E105" s="14">
        <f>IF('Property Data'!H104="","",'Property Data'!H104)</f>
        <v/>
      </c>
      <c r="F105" s="15">
        <f>IF('Property Data'!G104="","",'Property Data'!G104)</f>
        <v/>
      </c>
      <c r="G105" s="16">
        <f>IF('Property Data'!I104="","",'Property Data'!I104)</f>
        <v/>
      </c>
    </row>
    <row r="106">
      <c r="B106" s="9">
        <f>IF('Property Data'!B105="","",'Property Data'!B105)</f>
        <v/>
      </c>
      <c r="C106" s="9">
        <f>IF('Property Data'!C105="","",'Property Data'!C105)</f>
        <v/>
      </c>
      <c r="D106" s="10">
        <f>IF('Property Data'!D105="","",IF('Property Data'!D105="Studio",1,IF('Property Data'!D105="1 BR",1,IF('Property Data'!D105="2 BR",2,IF('Property Data'!D105="3 BR",3,IF('Property Data'!D105="4 BR",4,IF('Property Data'!D105="5 BR",5,"")))))))</f>
        <v/>
      </c>
      <c r="E106" s="10">
        <f>IF('Property Data'!H105="","",'Property Data'!H105)</f>
        <v/>
      </c>
      <c r="F106" s="11">
        <f>IF('Property Data'!G105="","",'Property Data'!G105)</f>
        <v/>
      </c>
      <c r="G106" s="12">
        <f>IF('Property Data'!I105="","",'Property Data'!I105)</f>
        <v/>
      </c>
    </row>
    <row r="107">
      <c r="B107" s="13">
        <f>IF('Property Data'!B106="","",'Property Data'!B106)</f>
        <v/>
      </c>
      <c r="C107" s="13">
        <f>IF('Property Data'!C106="","",'Property Data'!C106)</f>
        <v/>
      </c>
      <c r="D107" s="14">
        <f>IF('Property Data'!D106="","",IF('Property Data'!D106="Studio",1,IF('Property Data'!D106="1 BR",1,IF('Property Data'!D106="2 BR",2,IF('Property Data'!D106="3 BR",3,IF('Property Data'!D106="4 BR",4,IF('Property Data'!D106="5 BR",5,"")))))))</f>
        <v/>
      </c>
      <c r="E107" s="14">
        <f>IF('Property Data'!H106="","",'Property Data'!H106)</f>
        <v/>
      </c>
      <c r="F107" s="15">
        <f>IF('Property Data'!G106="","",'Property Data'!G106)</f>
        <v/>
      </c>
      <c r="G107" s="16">
        <f>IF('Property Data'!I106="","",'Property Data'!I106)</f>
        <v/>
      </c>
    </row>
    <row r="110">
      <c r="B110" s="18" t="inlineStr">
        <is>
          <t>TOTALS</t>
        </is>
      </c>
      <c r="E110" s="19">
        <f>SUMIF(E8:E107,"&lt;&gt;""")</f>
        <v/>
      </c>
      <c r="G110" s="19">
        <f>SUMIF(G8:G107,"&lt;&gt;""")</f>
        <v/>
      </c>
    </row>
    <row r="112">
      <c r="B112" s="18" t="inlineStr">
        <is>
          <t>Overall Prelease:</t>
        </is>
      </c>
      <c r="C112" s="20">
        <f>IF(E110=0,"",G110/E110)</f>
        <v/>
      </c>
    </row>
  </sheetData>
  <mergeCells count="2">
    <mergeCell ref="B2:F2"/>
    <mergeCell ref="B5:F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2026-01-07T10:11:26Z</dcterms:created>
  <dcterms:modified xsi:type="dcterms:W3CDTF">2026-01-07T10:11:26Z</dcterms:modified>
</cp:coreProperties>
</file>